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 sai vaishnavi\OneDrive\Desktop\Higher_Education_Project\datasets\processed_data\KPI engineering\"/>
    </mc:Choice>
  </mc:AlternateContent>
  <xr:revisionPtr revIDLastSave="0" documentId="8_{28247583-5E46-43AE-A116-04EA757F33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35" i="1" l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2" i="1"/>
  <c r="D280" i="1"/>
  <c r="D279" i="1"/>
  <c r="D278" i="1"/>
  <c r="D277" i="1"/>
  <c r="D276" i="1"/>
  <c r="D275" i="1"/>
  <c r="D274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6" i="1"/>
  <c r="D255" i="1"/>
  <c r="D254" i="1"/>
  <c r="D252" i="1"/>
  <c r="D251" i="1"/>
  <c r="D250" i="1"/>
  <c r="D249" i="1"/>
  <c r="D248" i="1"/>
  <c r="D247" i="1"/>
  <c r="D246" i="1"/>
  <c r="D244" i="1"/>
  <c r="D243" i="1"/>
  <c r="D241" i="1"/>
  <c r="D240" i="1"/>
  <c r="D239" i="1"/>
  <c r="D238" i="1"/>
  <c r="D237" i="1"/>
  <c r="D236" i="1"/>
  <c r="D235" i="1"/>
  <c r="D234" i="1"/>
  <c r="D230" i="1"/>
  <c r="D229" i="1"/>
  <c r="D228" i="1"/>
  <c r="D227" i="1"/>
  <c r="D226" i="1"/>
  <c r="D225" i="1"/>
  <c r="D224" i="1"/>
  <c r="D223" i="1"/>
  <c r="D222" i="1"/>
  <c r="D221" i="1"/>
  <c r="D219" i="1"/>
  <c r="D218" i="1"/>
  <c r="D217" i="1"/>
  <c r="D216" i="1"/>
  <c r="D215" i="1"/>
  <c r="D211" i="1"/>
  <c r="D210" i="1"/>
  <c r="D209" i="1"/>
  <c r="D208" i="1"/>
  <c r="D207" i="1"/>
  <c r="D205" i="1"/>
  <c r="D204" i="1"/>
  <c r="D203" i="1"/>
  <c r="D202" i="1"/>
  <c r="D201" i="1"/>
  <c r="D200" i="1"/>
  <c r="D199" i="1"/>
  <c r="D198" i="1"/>
  <c r="D196" i="1"/>
  <c r="D195" i="1"/>
  <c r="D194" i="1"/>
  <c r="D193" i="1"/>
  <c r="D192" i="1"/>
  <c r="D189" i="1"/>
  <c r="D188" i="1"/>
  <c r="D187" i="1"/>
  <c r="D184" i="1"/>
  <c r="D182" i="1"/>
  <c r="D178" i="1"/>
  <c r="D177" i="1"/>
  <c r="D175" i="1"/>
  <c r="D174" i="1"/>
  <c r="D172" i="1"/>
  <c r="D171" i="1"/>
  <c r="D170" i="1"/>
  <c r="D167" i="1"/>
  <c r="D166" i="1"/>
  <c r="D165" i="1"/>
  <c r="D164" i="1"/>
  <c r="D163" i="1"/>
  <c r="D162" i="1"/>
  <c r="D160" i="1"/>
  <c r="D155" i="1"/>
  <c r="D154" i="1"/>
  <c r="D153" i="1"/>
  <c r="D148" i="1"/>
  <c r="D147" i="1"/>
  <c r="D145" i="1"/>
  <c r="D144" i="1"/>
  <c r="D142" i="1"/>
  <c r="D138" i="1"/>
  <c r="D126" i="1"/>
  <c r="D125" i="1"/>
  <c r="D124" i="1"/>
  <c r="D123" i="1"/>
  <c r="D120" i="1"/>
  <c r="D118" i="1"/>
  <c r="D115" i="1"/>
  <c r="D114" i="1"/>
  <c r="D113" i="1"/>
  <c r="D112" i="1"/>
  <c r="D111" i="1"/>
  <c r="D110" i="1"/>
  <c r="D109" i="1"/>
  <c r="D108" i="1"/>
  <c r="D105" i="1"/>
  <c r="D104" i="1"/>
  <c r="D102" i="1"/>
  <c r="D101" i="1"/>
  <c r="D100" i="1"/>
  <c r="D98" i="1"/>
  <c r="D97" i="1"/>
  <c r="D96" i="1"/>
  <c r="D95" i="1"/>
  <c r="D92" i="1"/>
  <c r="D90" i="1"/>
  <c r="D89" i="1"/>
  <c r="D88" i="1"/>
  <c r="D87" i="1"/>
  <c r="D86" i="1"/>
  <c r="D83" i="1"/>
  <c r="D82" i="1"/>
  <c r="D81" i="1"/>
  <c r="D80" i="1"/>
  <c r="D66" i="1"/>
  <c r="D62" i="1"/>
  <c r="D60" i="1"/>
  <c r="D59" i="1"/>
  <c r="D58" i="1"/>
  <c r="D56" i="1"/>
  <c r="D55" i="1"/>
  <c r="D53" i="1"/>
  <c r="D49" i="1"/>
  <c r="D47" i="1"/>
  <c r="D30" i="1"/>
  <c r="D29" i="1"/>
  <c r="D27" i="1"/>
  <c r="D23" i="1"/>
  <c r="D21" i="1"/>
  <c r="D13" i="1"/>
  <c r="D12" i="1"/>
  <c r="D11" i="1"/>
</calcChain>
</file>

<file path=xl/sharedStrings.xml><?xml version="1.0" encoding="utf-8"?>
<sst xmlns="http://schemas.openxmlformats.org/spreadsheetml/2006/main" count="6518" uniqueCount="1754">
  <si>
    <t>university_id</t>
  </si>
  <si>
    <t>university_name</t>
  </si>
  <si>
    <t>year</t>
  </si>
  <si>
    <t>world_rank</t>
  </si>
  <si>
    <t>national_rank</t>
  </si>
  <si>
    <t>overall_score</t>
  </si>
  <si>
    <t>country</t>
  </si>
  <si>
    <t>region</t>
  </si>
  <si>
    <t>city</t>
  </si>
  <si>
    <t>university_type</t>
  </si>
  <si>
    <t>academic_reputation_score</t>
  </si>
  <si>
    <t>employer_reputation_score</t>
  </si>
  <si>
    <t>citations_score</t>
  </si>
  <si>
    <t>publications_count</t>
  </si>
  <si>
    <t>citations_count</t>
  </si>
  <si>
    <t>citations_per_faculty</t>
  </si>
  <si>
    <t>h_index</t>
  </si>
  <si>
    <t>research_output_score</t>
  </si>
  <si>
    <t>research_productivity_index</t>
  </si>
  <si>
    <t>subject_field</t>
  </si>
  <si>
    <t>total_students</t>
  </si>
  <si>
    <t>international_students_count</t>
  </si>
  <si>
    <t>international_student_ratio</t>
  </si>
  <si>
    <t>faculty_count</t>
  </si>
  <si>
    <t>faculty_to_student_ratio</t>
  </si>
  <si>
    <t>gender_ratio</t>
  </si>
  <si>
    <t>female_percentage</t>
  </si>
  <si>
    <t>male_percentage</t>
  </si>
  <si>
    <t>degree_level</t>
  </si>
  <si>
    <t>undergraduate_count</t>
  </si>
  <si>
    <t>postgraduate_count</t>
  </si>
  <si>
    <t>country_avg_rank</t>
  </si>
  <si>
    <t>universities_ranked_count</t>
  </si>
  <si>
    <t>best_university_rank</t>
  </si>
  <si>
    <t>country_avg_overall_score</t>
  </si>
  <si>
    <t>country_avg_academic_reputation</t>
  </si>
  <si>
    <t>country_avg_citations</t>
  </si>
  <si>
    <t>country_avg_international_ratio</t>
  </si>
  <si>
    <t>world_rank_numeric</t>
  </si>
  <si>
    <t>global_ranking_score</t>
  </si>
  <si>
    <t>research_impact_score</t>
  </si>
  <si>
    <t>faculty_to_student_kpi</t>
  </si>
  <si>
    <t>international_student_percentage_kpi</t>
  </si>
  <si>
    <t>overall_score_numeric</t>
  </si>
  <si>
    <t>University of Cambridge</t>
  </si>
  <si>
    <t>2</t>
  </si>
  <si>
    <t>99.2</t>
  </si>
  <si>
    <t>United Kingdom</t>
  </si>
  <si>
    <t>Europe</t>
  </si>
  <si>
    <t>Cambridge</t>
  </si>
  <si>
    <t>Public</t>
  </si>
  <si>
    <t>Natural Sciences</t>
  </si>
  <si>
    <t>48:52:00</t>
  </si>
  <si>
    <t>Undergraduate &amp; Postgraduate</t>
  </si>
  <si>
    <t>University of Oxford</t>
  </si>
  <si>
    <t>3</t>
  </si>
  <si>
    <t>98.9</t>
  </si>
  <si>
    <t>Oxford</t>
  </si>
  <si>
    <t>Life Sciences &amp; Medicine</t>
  </si>
  <si>
    <t>49:51:00</t>
  </si>
  <si>
    <t>Harvard University</t>
  </si>
  <si>
    <t>4</t>
  </si>
  <si>
    <t>98.3</t>
  </si>
  <si>
    <t>United States</t>
  </si>
  <si>
    <t>North America</t>
  </si>
  <si>
    <t>Private</t>
  </si>
  <si>
    <t>51:49:00</t>
  </si>
  <si>
    <t>Stanford University</t>
  </si>
  <si>
    <t>5</t>
  </si>
  <si>
    <t>98.1</t>
  </si>
  <si>
    <t>Stanford</t>
  </si>
  <si>
    <t>Social Sciences &amp; Management</t>
  </si>
  <si>
    <t>47:53:00</t>
  </si>
  <si>
    <t>Imperial College London</t>
  </si>
  <si>
    <t>6</t>
  </si>
  <si>
    <t>97.8</t>
  </si>
  <si>
    <t>London</t>
  </si>
  <si>
    <t>Engineering &amp; Technology</t>
  </si>
  <si>
    <t>42:58:00</t>
  </si>
  <si>
    <t>UCL</t>
  </si>
  <si>
    <t>9</t>
  </si>
  <si>
    <t>92.4</t>
  </si>
  <si>
    <t>59:41:00</t>
  </si>
  <si>
    <t>University of Pennsylvania</t>
  </si>
  <si>
    <t>12</t>
  </si>
  <si>
    <t>89.4</t>
  </si>
  <si>
    <t>Philadelphia</t>
  </si>
  <si>
    <t>54:46:00</t>
  </si>
  <si>
    <t>Cornell University</t>
  </si>
  <si>
    <t>13</t>
  </si>
  <si>
    <t>89.3</t>
  </si>
  <si>
    <t>Ithaca</t>
  </si>
  <si>
    <t>Yale University</t>
  </si>
  <si>
    <t>16</t>
  </si>
  <si>
    <t>87.7</t>
  </si>
  <si>
    <t>New Haven</t>
  </si>
  <si>
    <t>Arts &amp; Humanities</t>
  </si>
  <si>
    <t>Peking University</t>
  </si>
  <si>
    <t>87.0</t>
  </si>
  <si>
    <t>China (Mainland)</t>
  </si>
  <si>
    <t>Asia</t>
  </si>
  <si>
    <t>Beijing</t>
  </si>
  <si>
    <t>46:54:00</t>
  </si>
  <si>
    <t>Princeton University</t>
  </si>
  <si>
    <t>Princeton</t>
  </si>
  <si>
    <t>The University of Sydney</t>
  </si>
  <si>
    <t>86.7</t>
  </si>
  <si>
    <t>Australia</t>
  </si>
  <si>
    <t>Oceania</t>
  </si>
  <si>
    <t>Sydney</t>
  </si>
  <si>
    <t>58:42:00</t>
  </si>
  <si>
    <t>University of Toronto</t>
  </si>
  <si>
    <t>21</t>
  </si>
  <si>
    <t>86.3</t>
  </si>
  <si>
    <t>Canada</t>
  </si>
  <si>
    <t>Toronto</t>
  </si>
  <si>
    <t>56:44:00</t>
  </si>
  <si>
    <t>Columbia University</t>
  </si>
  <si>
    <t>23</t>
  </si>
  <si>
    <t>85.9</t>
  </si>
  <si>
    <t>New York City</t>
  </si>
  <si>
    <t>Tsinghua University</t>
  </si>
  <si>
    <t>25</t>
  </si>
  <si>
    <t>84.9</t>
  </si>
  <si>
    <t>40 : 60</t>
  </si>
  <si>
    <t>Johns Hopkins University</t>
  </si>
  <si>
    <t>28</t>
  </si>
  <si>
    <t>84.5</t>
  </si>
  <si>
    <t>Baltimore</t>
  </si>
  <si>
    <t>The University of Tokyo</t>
  </si>
  <si>
    <t>84.3</t>
  </si>
  <si>
    <t>Japan</t>
  </si>
  <si>
    <t>Tokyo</t>
  </si>
  <si>
    <t>50:50:00</t>
  </si>
  <si>
    <t>McGill University</t>
  </si>
  <si>
    <t>30</t>
  </si>
  <si>
    <t>83.7</t>
  </si>
  <si>
    <t>Montreal</t>
  </si>
  <si>
    <t>61:39:00</t>
  </si>
  <si>
    <t>University of Michigan-Ann Arbor</t>
  </si>
  <si>
    <t>33</t>
  </si>
  <si>
    <t>81.7</t>
  </si>
  <si>
    <t>Ann Arbor</t>
  </si>
  <si>
    <t>University of British Columbia</t>
  </si>
  <si>
    <t>81.5</t>
  </si>
  <si>
    <t>Vancouver</t>
  </si>
  <si>
    <t>55:45:00</t>
  </si>
  <si>
    <t>Technical University of Munich</t>
  </si>
  <si>
    <t>37</t>
  </si>
  <si>
    <t>80.0</t>
  </si>
  <si>
    <t>Germany</t>
  </si>
  <si>
    <t>Munich</t>
  </si>
  <si>
    <t>37 : 63</t>
  </si>
  <si>
    <t>Institut Polytechnique de Paris</t>
  </si>
  <si>
    <t>79.5</t>
  </si>
  <si>
    <t>France</t>
  </si>
  <si>
    <t>Palaiseau Cedex</t>
  </si>
  <si>
    <t>25 : 75</t>
  </si>
  <si>
    <t>Seoul National University</t>
  </si>
  <si>
    <t>41</t>
  </si>
  <si>
    <t>78.5</t>
  </si>
  <si>
    <t>South Korea</t>
  </si>
  <si>
    <t>Seoul</t>
  </si>
  <si>
    <t>Monash University</t>
  </si>
  <si>
    <t>42</t>
  </si>
  <si>
    <t>78.2</t>
  </si>
  <si>
    <t>Melbourne</t>
  </si>
  <si>
    <t>The University of Queensland</t>
  </si>
  <si>
    <t>43</t>
  </si>
  <si>
    <t>78.1</t>
  </si>
  <si>
    <t>Brisbane City</t>
  </si>
  <si>
    <t>Zhejiang University</t>
  </si>
  <si>
    <t>77.8</t>
  </si>
  <si>
    <t>Hangzhou</t>
  </si>
  <si>
    <t>Kyoto University</t>
  </si>
  <si>
    <t>46</t>
  </si>
  <si>
    <t>76.3</t>
  </si>
  <si>
    <t>Kyoto</t>
  </si>
  <si>
    <t>Delft University of Technology</t>
  </si>
  <si>
    <t>76.2</t>
  </si>
  <si>
    <t>Netherlands</t>
  </si>
  <si>
    <t>Delft</t>
  </si>
  <si>
    <t>31 : 69</t>
  </si>
  <si>
    <t>Northwestern University</t>
  </si>
  <si>
    <t>Evanston</t>
  </si>
  <si>
    <t>52:48:00</t>
  </si>
  <si>
    <t>Fudan University</t>
  </si>
  <si>
    <t>50</t>
  </si>
  <si>
    <t>74.4</t>
  </si>
  <si>
    <t>Shanghai</t>
  </si>
  <si>
    <t>Shanghai Jiao Tong University</t>
  </si>
  <si>
    <t>51</t>
  </si>
  <si>
    <t>74.3</t>
  </si>
  <si>
    <t>Carnegie Mellon University</t>
  </si>
  <si>
    <t>52</t>
  </si>
  <si>
    <t>73.7</t>
  </si>
  <si>
    <t>Pittsburgh</t>
  </si>
  <si>
    <t>44:56:00</t>
  </si>
  <si>
    <t>University of Amsterdam</t>
  </si>
  <si>
    <t>53</t>
  </si>
  <si>
    <t>73.4</t>
  </si>
  <si>
    <t>Amsterdam</t>
  </si>
  <si>
    <t>60:40:00</t>
  </si>
  <si>
    <t>University of Bristol</t>
  </si>
  <si>
    <t>55</t>
  </si>
  <si>
    <t>72.4</t>
  </si>
  <si>
    <t>Bristol</t>
  </si>
  <si>
    <t>Duke University</t>
  </si>
  <si>
    <t>57</t>
  </si>
  <si>
    <t>72.0</t>
  </si>
  <si>
    <t>Durham</t>
  </si>
  <si>
    <t>University of Texas at Austin</t>
  </si>
  <si>
    <t>58</t>
  </si>
  <si>
    <t>71.8</t>
  </si>
  <si>
    <t>Austin</t>
  </si>
  <si>
    <t>Sorbonne University</t>
  </si>
  <si>
    <t>59</t>
  </si>
  <si>
    <t>71.7</t>
  </si>
  <si>
    <t>The Hong Kong University of Science and Technology</t>
  </si>
  <si>
    <t>60</t>
  </si>
  <si>
    <t>71.1</t>
  </si>
  <si>
    <t>Hong Kong SAR</t>
  </si>
  <si>
    <t>Hong Kong</t>
  </si>
  <si>
    <t>KU Leuven</t>
  </si>
  <si>
    <t>61</t>
  </si>
  <si>
    <t>70.1</t>
  </si>
  <si>
    <t>Belgium</t>
  </si>
  <si>
    <t>Leuven</t>
  </si>
  <si>
    <t>University of Washington</t>
  </si>
  <si>
    <t>63</t>
  </si>
  <si>
    <t>69.2</t>
  </si>
  <si>
    <t>Seattle</t>
  </si>
  <si>
    <t>University of Illinois at Urbana-Champaign</t>
  </si>
  <si>
    <t>64</t>
  </si>
  <si>
    <t>69.1</t>
  </si>
  <si>
    <t>Champaign</t>
  </si>
  <si>
    <t>National Taiwan University</t>
  </si>
  <si>
    <t>69</t>
  </si>
  <si>
    <t>67.9</t>
  </si>
  <si>
    <t>Taiwan</t>
  </si>
  <si>
    <t>Taipei City</t>
  </si>
  <si>
    <t>41:59:00</t>
  </si>
  <si>
    <t>City University of Hong Kong</t>
  </si>
  <si>
    <t>70</t>
  </si>
  <si>
    <t>67.7</t>
  </si>
  <si>
    <t>Université Paris-Saclay</t>
  </si>
  <si>
    <t>71</t>
  </si>
  <si>
    <t>67.6</t>
  </si>
  <si>
    <t>The University of Western Australia</t>
  </si>
  <si>
    <t>72</t>
  </si>
  <si>
    <t>66.9</t>
  </si>
  <si>
    <t>Perth</t>
  </si>
  <si>
    <t>Brown University</t>
  </si>
  <si>
    <t>66.4</t>
  </si>
  <si>
    <t>Providence</t>
  </si>
  <si>
    <t>University of Leeds</t>
  </si>
  <si>
    <t>75</t>
  </si>
  <si>
    <t>65.5</t>
  </si>
  <si>
    <t>Leeds</t>
  </si>
  <si>
    <t>University of Glasgow</t>
  </si>
  <si>
    <t>65.2</t>
  </si>
  <si>
    <t>Glasgow</t>
  </si>
  <si>
    <t>Durham University</t>
  </si>
  <si>
    <t>78</t>
  </si>
  <si>
    <t>65.1</t>
  </si>
  <si>
    <t>Korea University</t>
  </si>
  <si>
    <t>79</t>
  </si>
  <si>
    <t>64.7</t>
  </si>
  <si>
    <t>Osaka University</t>
  </si>
  <si>
    <t>80</t>
  </si>
  <si>
    <t>63.9</t>
  </si>
  <si>
    <t>Osaka City</t>
  </si>
  <si>
    <t>32 : 68</t>
  </si>
  <si>
    <t>University of Southampton</t>
  </si>
  <si>
    <t>63.5</t>
  </si>
  <si>
    <t>Southampton</t>
  </si>
  <si>
    <t>University of Birmingham</t>
  </si>
  <si>
    <t>84</t>
  </si>
  <si>
    <t>63.0</t>
  </si>
  <si>
    <t>Birmingham</t>
  </si>
  <si>
    <t>Lund University</t>
  </si>
  <si>
    <t>62.8</t>
  </si>
  <si>
    <t>Sweden</t>
  </si>
  <si>
    <t>Lund</t>
  </si>
  <si>
    <t>Lomonosov Moscow State University</t>
  </si>
  <si>
    <t>62.2</t>
  </si>
  <si>
    <t>Russia</t>
  </si>
  <si>
    <t>Moscow</t>
  </si>
  <si>
    <t>University of Technology Sydney</t>
  </si>
  <si>
    <t>90</t>
  </si>
  <si>
    <t>61.8</t>
  </si>
  <si>
    <t>Haymarket</t>
  </si>
  <si>
    <t>University of Zurich</t>
  </si>
  <si>
    <t>61.6</t>
  </si>
  <si>
    <t>Switzerland</t>
  </si>
  <si>
    <t>Zürich</t>
  </si>
  <si>
    <t>Boston University</t>
  </si>
  <si>
    <t>61.4</t>
  </si>
  <si>
    <t>Boston</t>
  </si>
  <si>
    <t>University of St Andrews</t>
  </si>
  <si>
    <t>61.0</t>
  </si>
  <si>
    <t>St. Andrews</t>
  </si>
  <si>
    <t>Georgia Institute of Technology</t>
  </si>
  <si>
    <t>97</t>
  </si>
  <si>
    <t>60.9</t>
  </si>
  <si>
    <t>Atlanta</t>
  </si>
  <si>
    <t>34 : 66</t>
  </si>
  <si>
    <t>University of Nottingham</t>
  </si>
  <si>
    <t>60.4</t>
  </si>
  <si>
    <t>Nottingham</t>
  </si>
  <si>
    <t>University of Wisconsin-Madison</t>
  </si>
  <si>
    <t>102</t>
  </si>
  <si>
    <t>60.0</t>
  </si>
  <si>
    <t>Madison</t>
  </si>
  <si>
    <t>Uppsala University</t>
  </si>
  <si>
    <t>105</t>
  </si>
  <si>
    <t>59.4</t>
  </si>
  <si>
    <t>Uppsala</t>
  </si>
  <si>
    <t>RWTH Aachen University</t>
  </si>
  <si>
    <t>106</t>
  </si>
  <si>
    <t>59.3</t>
  </si>
  <si>
    <t>Aachen</t>
  </si>
  <si>
    <t>University of Copenhagen</t>
  </si>
  <si>
    <t>58.8</t>
  </si>
  <si>
    <t>Denmark</t>
  </si>
  <si>
    <t>Copenhagen</t>
  </si>
  <si>
    <t>62:38:00</t>
  </si>
  <si>
    <t>Aalto University</t>
  </si>
  <si>
    <t>109</t>
  </si>
  <si>
    <t>58.7</t>
  </si>
  <si>
    <t>Finland</t>
  </si>
  <si>
    <t>Espoo</t>
  </si>
  <si>
    <t>39 : 61</t>
  </si>
  <si>
    <t>Newcastle University</t>
  </si>
  <si>
    <t>110</t>
  </si>
  <si>
    <t>58.6</t>
  </si>
  <si>
    <t>Newcastle upon Tyne</t>
  </si>
  <si>
    <t>53:47:00</t>
  </si>
  <si>
    <t>University of Alberta</t>
  </si>
  <si>
    <t>111</t>
  </si>
  <si>
    <t>58.3</t>
  </si>
  <si>
    <t>Edmonton</t>
  </si>
  <si>
    <t>University of Waterloo</t>
  </si>
  <si>
    <t>112</t>
  </si>
  <si>
    <t>58.1</t>
  </si>
  <si>
    <t>Waterloo</t>
  </si>
  <si>
    <t>Tohoku University</t>
  </si>
  <si>
    <t>113</t>
  </si>
  <si>
    <t>58.0</t>
  </si>
  <si>
    <t>Sendai City</t>
  </si>
  <si>
    <t>28 : 72</t>
  </si>
  <si>
    <t>Western University</t>
  </si>
  <si>
    <t>114</t>
  </si>
  <si>
    <t>57.4</t>
  </si>
  <si>
    <t>University of Helsinki</t>
  </si>
  <si>
    <t>115</t>
  </si>
  <si>
    <t>57.2</t>
  </si>
  <si>
    <t>Helsinki</t>
  </si>
  <si>
    <t>67:33:00</t>
  </si>
  <si>
    <t>University of Southern California</t>
  </si>
  <si>
    <t>116</t>
  </si>
  <si>
    <t>57.1</t>
  </si>
  <si>
    <t>Los Angeles</t>
  </si>
  <si>
    <t>University of Oslo</t>
  </si>
  <si>
    <t>117</t>
  </si>
  <si>
    <t>56.9</t>
  </si>
  <si>
    <t>Norway</t>
  </si>
  <si>
    <t>Oslo</t>
  </si>
  <si>
    <t>66:34:00</t>
  </si>
  <si>
    <t>Stockholm University</t>
  </si>
  <si>
    <t>118</t>
  </si>
  <si>
    <t>56.8</t>
  </si>
  <si>
    <t>Stockholm</t>
  </si>
  <si>
    <t>Technical University of Denmark</t>
  </si>
  <si>
    <t>121</t>
  </si>
  <si>
    <t>56.2</t>
  </si>
  <si>
    <t>Kongens Lyngby</t>
  </si>
  <si>
    <t>Lancaster University</t>
  </si>
  <si>
    <t>122</t>
  </si>
  <si>
    <t>55.7</t>
  </si>
  <si>
    <t>Lancaster</t>
  </si>
  <si>
    <t>Politecnico di Milano</t>
  </si>
  <si>
    <t>123</t>
  </si>
  <si>
    <t>55.2</t>
  </si>
  <si>
    <t>Italy</t>
  </si>
  <si>
    <t>Milan</t>
  </si>
  <si>
    <t>35 : 65</t>
  </si>
  <si>
    <t>Eindhoven University of Technology</t>
  </si>
  <si>
    <t>55.0</t>
  </si>
  <si>
    <t>Eindhoven</t>
  </si>
  <si>
    <t>30 : 70</t>
  </si>
  <si>
    <t>University of Basel</t>
  </si>
  <si>
    <t>Basel</t>
  </si>
  <si>
    <t>Leiden University</t>
  </si>
  <si>
    <t>54.8</t>
  </si>
  <si>
    <t>Leiden</t>
  </si>
  <si>
    <t>University of Bern</t>
  </si>
  <si>
    <t>Bern</t>
  </si>
  <si>
    <t>University of Geneva</t>
  </si>
  <si>
    <t>128</t>
  </si>
  <si>
    <t>54.2</t>
  </si>
  <si>
    <t>Geneva</t>
  </si>
  <si>
    <t>Chalmers University of Technology</t>
  </si>
  <si>
    <t>129</t>
  </si>
  <si>
    <t>54.0</t>
  </si>
  <si>
    <t>Gothenburg</t>
  </si>
  <si>
    <t>Macquarie University</t>
  </si>
  <si>
    <t>53.7</t>
  </si>
  <si>
    <t>45:55:00</t>
  </si>
  <si>
    <t>University of Vienna</t>
  </si>
  <si>
    <t>Austria</t>
  </si>
  <si>
    <t>Vienna</t>
  </si>
  <si>
    <t>University of California, Davis</t>
  </si>
  <si>
    <t>53.2</t>
  </si>
  <si>
    <t>Davis</t>
  </si>
  <si>
    <t>Sapienza University of Rome</t>
  </si>
  <si>
    <t>52.9</t>
  </si>
  <si>
    <t>Rome</t>
  </si>
  <si>
    <t>Texas A&amp;M University</t>
  </si>
  <si>
    <t>College Station</t>
  </si>
  <si>
    <t>Michigan State University</t>
  </si>
  <si>
    <t>136</t>
  </si>
  <si>
    <t>52.7</t>
  </si>
  <si>
    <t>East Lansing</t>
  </si>
  <si>
    <t>University of Science and Technology of China</t>
  </si>
  <si>
    <t>52.6</t>
  </si>
  <si>
    <t>Hefei</t>
  </si>
  <si>
    <t>University of Groningen</t>
  </si>
  <si>
    <t>139</t>
  </si>
  <si>
    <t>52.5</t>
  </si>
  <si>
    <t>Groningen</t>
  </si>
  <si>
    <t>RMIT University</t>
  </si>
  <si>
    <t>140</t>
  </si>
  <si>
    <t>52.4</t>
  </si>
  <si>
    <t>Nanjing University</t>
  </si>
  <si>
    <t>52.1</t>
  </si>
  <si>
    <t>Nanjing</t>
  </si>
  <si>
    <t>Aarhus University</t>
  </si>
  <si>
    <t>52.0</t>
  </si>
  <si>
    <t>Aarhus</t>
  </si>
  <si>
    <t>Queen Mary University of London</t>
  </si>
  <si>
    <t>51.9</t>
  </si>
  <si>
    <t>Rice University</t>
  </si>
  <si>
    <t>Houston</t>
  </si>
  <si>
    <t>University of Bath</t>
  </si>
  <si>
    <t>148</t>
  </si>
  <si>
    <t>51.8</t>
  </si>
  <si>
    <t>Bath</t>
  </si>
  <si>
    <t>Wageningen University &amp; Research</t>
  </si>
  <si>
    <t>51.3</t>
  </si>
  <si>
    <t>Wageningen</t>
  </si>
  <si>
    <t>Cardiff University</t>
  </si>
  <si>
    <t>50.5</t>
  </si>
  <si>
    <t>Cardiff</t>
  </si>
  <si>
    <t>Ghent University</t>
  </si>
  <si>
    <t>50.2</t>
  </si>
  <si>
    <t>Ghent</t>
  </si>
  <si>
    <t>57:43:00</t>
  </si>
  <si>
    <t>University of Wollongong</t>
  </si>
  <si>
    <t>162</t>
  </si>
  <si>
    <t>50.1</t>
  </si>
  <si>
    <t>Wollongong</t>
  </si>
  <si>
    <t>Hanyang University</t>
  </si>
  <si>
    <t>49.7</t>
  </si>
  <si>
    <t>Kyushu University</t>
  </si>
  <si>
    <t>Fukuoka City</t>
  </si>
  <si>
    <t>University of York</t>
  </si>
  <si>
    <t>167</t>
  </si>
  <si>
    <t>49.4</t>
  </si>
  <si>
    <t>York</t>
  </si>
  <si>
    <t>University of Florida</t>
  </si>
  <si>
    <t>168</t>
  </si>
  <si>
    <t>49.1</t>
  </si>
  <si>
    <t>Gainesville</t>
  </si>
  <si>
    <t>University of Maryland, College Park</t>
  </si>
  <si>
    <t>48.9</t>
  </si>
  <si>
    <t>College Park</t>
  </si>
  <si>
    <t>University of Reading</t>
  </si>
  <si>
    <t>Reading</t>
  </si>
  <si>
    <t>Complutense University of Madrid</t>
  </si>
  <si>
    <t>48.8</t>
  </si>
  <si>
    <t>Spain</t>
  </si>
  <si>
    <t>Madrid</t>
  </si>
  <si>
    <t>University College Dublin</t>
  </si>
  <si>
    <t>Ireland</t>
  </si>
  <si>
    <t>Dublin</t>
  </si>
  <si>
    <t>Qatar University</t>
  </si>
  <si>
    <t>48.7</t>
  </si>
  <si>
    <t>Qatar</t>
  </si>
  <si>
    <t>Doha</t>
  </si>
  <si>
    <t>77:23:00</t>
  </si>
  <si>
    <t>University of Cape Town</t>
  </si>
  <si>
    <t>South Africa</t>
  </si>
  <si>
    <t>Africa</t>
  </si>
  <si>
    <t>Cape Town</t>
  </si>
  <si>
    <t>Nagoya University</t>
  </si>
  <si>
    <t>48.5</t>
  </si>
  <si>
    <t>Nagoya</t>
  </si>
  <si>
    <t>University of Liverpool</t>
  </si>
  <si>
    <t>Liverpool</t>
  </si>
  <si>
    <t>University of Calgary</t>
  </si>
  <si>
    <t>182</t>
  </si>
  <si>
    <t>47.9</t>
  </si>
  <si>
    <t>Calgary</t>
  </si>
  <si>
    <t>Curtin University</t>
  </si>
  <si>
    <t>183</t>
  </si>
  <si>
    <t>47.8</t>
  </si>
  <si>
    <t>École Normale Supérieure de Lyon</t>
  </si>
  <si>
    <t>47.6</t>
  </si>
  <si>
    <t>Lyon</t>
  </si>
  <si>
    <t>43:57:00</t>
  </si>
  <si>
    <t>University of Gothenburg</t>
  </si>
  <si>
    <t>187</t>
  </si>
  <si>
    <t>47.3</t>
  </si>
  <si>
    <t>McMaster University</t>
  </si>
  <si>
    <t>46.8</t>
  </si>
  <si>
    <t>Hamilton</t>
  </si>
  <si>
    <t>Wuhan University</t>
  </si>
  <si>
    <t>194</t>
  </si>
  <si>
    <t>46.6</t>
  </si>
  <si>
    <t>Wuhan</t>
  </si>
  <si>
    <t>63:37:00</t>
  </si>
  <si>
    <t>Hokkaido University</t>
  </si>
  <si>
    <t>196</t>
  </si>
  <si>
    <t>46.2</t>
  </si>
  <si>
    <t>Sapporo</t>
  </si>
  <si>
    <t>29 : 71</t>
  </si>
  <si>
    <t>Emory University</t>
  </si>
  <si>
    <t>45.9</t>
  </si>
  <si>
    <t>Waseda University</t>
  </si>
  <si>
    <t>King Saud University</t>
  </si>
  <si>
    <t>45.2</t>
  </si>
  <si>
    <t>Saudi Arabia</t>
  </si>
  <si>
    <t>Riyadh</t>
  </si>
  <si>
    <t>University of Ottawa</t>
  </si>
  <si>
    <t>Ottawa</t>
  </si>
  <si>
    <t>University of Otago</t>
  </si>
  <si>
    <t>206</t>
  </si>
  <si>
    <t>45.0</t>
  </si>
  <si>
    <t>New Zealand</t>
  </si>
  <si>
    <t>Dunedin</t>
  </si>
  <si>
    <t>Vrije Universiteit Amsterdam</t>
  </si>
  <si>
    <t>207</t>
  </si>
  <si>
    <t>44.9</t>
  </si>
  <si>
    <t>University of Aberdeen</t>
  </si>
  <si>
    <t>208</t>
  </si>
  <si>
    <t>44.6</t>
  </si>
  <si>
    <t>Aberdeen</t>
  </si>
  <si>
    <t>University of Twente</t>
  </si>
  <si>
    <t>210</t>
  </si>
  <si>
    <t>44.4</t>
  </si>
  <si>
    <t>Enschede</t>
  </si>
  <si>
    <t>Chulalongkorn University</t>
  </si>
  <si>
    <t>211</t>
  </si>
  <si>
    <t>44.3</t>
  </si>
  <si>
    <t>Thailand</t>
  </si>
  <si>
    <t>Bangkok</t>
  </si>
  <si>
    <t>Loughborough University</t>
  </si>
  <si>
    <t>212</t>
  </si>
  <si>
    <t>44.2</t>
  </si>
  <si>
    <t>Loughborough</t>
  </si>
  <si>
    <t>Keio University</t>
  </si>
  <si>
    <t>214</t>
  </si>
  <si>
    <t>44.0</t>
  </si>
  <si>
    <t>36 : 64</t>
  </si>
  <si>
    <t>Tel Aviv University</t>
  </si>
  <si>
    <t>215</t>
  </si>
  <si>
    <t>43.9</t>
  </si>
  <si>
    <t>Israel</t>
  </si>
  <si>
    <t>Tel Aviv</t>
  </si>
  <si>
    <t>Tongji University</t>
  </si>
  <si>
    <t>216</t>
  </si>
  <si>
    <t>43.5</t>
  </si>
  <si>
    <t>National Yang Ming Chiao Tung University</t>
  </si>
  <si>
    <t>217</t>
  </si>
  <si>
    <t>43.3</t>
  </si>
  <si>
    <t>University of Sussex</t>
  </si>
  <si>
    <t>218</t>
  </si>
  <si>
    <t>43.1</t>
  </si>
  <si>
    <t>Brighton</t>
  </si>
  <si>
    <t>University of Lausanne</t>
  </si>
  <si>
    <t>42.7</t>
  </si>
  <si>
    <t>Lausanne</t>
  </si>
  <si>
    <t>University of Rochester</t>
  </si>
  <si>
    <t>224</t>
  </si>
  <si>
    <t>42.4</t>
  </si>
  <si>
    <t>Rochester</t>
  </si>
  <si>
    <t>Indian Institute of Science</t>
  </si>
  <si>
    <t>225</t>
  </si>
  <si>
    <t>42.1</t>
  </si>
  <si>
    <t>India</t>
  </si>
  <si>
    <t>Bangalore</t>
  </si>
  <si>
    <t>27 : 73</t>
  </si>
  <si>
    <t>National Cheng Kung University</t>
  </si>
  <si>
    <t>228</t>
  </si>
  <si>
    <t>41.8</t>
  </si>
  <si>
    <t>Tainan City</t>
  </si>
  <si>
    <t>Al-Farabi Kazakh National University</t>
  </si>
  <si>
    <t>41.6</t>
  </si>
  <si>
    <t>Kazakhstan</t>
  </si>
  <si>
    <t>Almaty</t>
  </si>
  <si>
    <t>University of Göttingen</t>
  </si>
  <si>
    <t>232</t>
  </si>
  <si>
    <t>41.4</t>
  </si>
  <si>
    <t>Göttingen</t>
  </si>
  <si>
    <t>Deakin University</t>
  </si>
  <si>
    <t>41.3</t>
  </si>
  <si>
    <t>Geelong</t>
  </si>
  <si>
    <t>National Tsing Hua University</t>
  </si>
  <si>
    <t>Hsinchu City</t>
  </si>
  <si>
    <t>Heriot-Watt University</t>
  </si>
  <si>
    <t>235</t>
  </si>
  <si>
    <t>41.2</t>
  </si>
  <si>
    <t>Edinburgh</t>
  </si>
  <si>
    <t>Dartmouth College</t>
  </si>
  <si>
    <t>40.9</t>
  </si>
  <si>
    <t>Hanover</t>
  </si>
  <si>
    <t>Massey University</t>
  </si>
  <si>
    <t>40.6</t>
  </si>
  <si>
    <t>Palmerston North</t>
  </si>
  <si>
    <t>64:36:00</t>
  </si>
  <si>
    <t>Victoria University of Wellington</t>
  </si>
  <si>
    <t>241</t>
  </si>
  <si>
    <t>40.5</t>
  </si>
  <si>
    <t>Kelburn, Wellington</t>
  </si>
  <si>
    <t>La Trobe University</t>
  </si>
  <si>
    <t>242</t>
  </si>
  <si>
    <t>40.3</t>
  </si>
  <si>
    <t>Griffith University</t>
  </si>
  <si>
    <t>243</t>
  </si>
  <si>
    <t>40.1</t>
  </si>
  <si>
    <t>Nathan</t>
  </si>
  <si>
    <t>University of Surrey</t>
  </si>
  <si>
    <t>244</t>
  </si>
  <si>
    <t>39.9</t>
  </si>
  <si>
    <t>Guildford</t>
  </si>
  <si>
    <t>Technical University of Darmstadt</t>
  </si>
  <si>
    <t>39.7</t>
  </si>
  <si>
    <t>Darmstadt</t>
  </si>
  <si>
    <t>33 : 67</t>
  </si>
  <si>
    <t>Charles University</t>
  </si>
  <si>
    <t>39.6</t>
  </si>
  <si>
    <t>Czech Republic</t>
  </si>
  <si>
    <t>Prague</t>
  </si>
  <si>
    <t>University of Antwerp</t>
  </si>
  <si>
    <t>Antwerp</t>
  </si>
  <si>
    <t>University of Waikato</t>
  </si>
  <si>
    <t>250</t>
  </si>
  <si>
    <t>39.5</t>
  </si>
  <si>
    <t xml:space="preserve">Hamilton </t>
  </si>
  <si>
    <t>University of Porto</t>
  </si>
  <si>
    <t>253</t>
  </si>
  <si>
    <t>39.0</t>
  </si>
  <si>
    <t>Portugal</t>
  </si>
  <si>
    <t>Porto</t>
  </si>
  <si>
    <t>University of Macau</t>
  </si>
  <si>
    <t>254</t>
  </si>
  <si>
    <t>38.9</t>
  </si>
  <si>
    <t>Macau SAR</t>
  </si>
  <si>
    <t>Macao SAR, China</t>
  </si>
  <si>
    <t>Case Western Reserve University</t>
  </si>
  <si>
    <t>255</t>
  </si>
  <si>
    <t>38.8</t>
  </si>
  <si>
    <t>Cleveland</t>
  </si>
  <si>
    <t>Harbin Institute of Technology</t>
  </si>
  <si>
    <t>38.7</t>
  </si>
  <si>
    <t>Harbin</t>
  </si>
  <si>
    <t>Vanderbilt University</t>
  </si>
  <si>
    <t>261</t>
  </si>
  <si>
    <t>38.4</t>
  </si>
  <si>
    <t>Nashville</t>
  </si>
  <si>
    <t>University of Colorado Boulder</t>
  </si>
  <si>
    <t>37.9</t>
  </si>
  <si>
    <t>Boulder</t>
  </si>
  <si>
    <t>Ulsan National Institute of Science and Technology</t>
  </si>
  <si>
    <t>37.7</t>
  </si>
  <si>
    <t>Republic of Korea</t>
  </si>
  <si>
    <t>Linköping University</t>
  </si>
  <si>
    <t>37.5</t>
  </si>
  <si>
    <t>Linköping</t>
  </si>
  <si>
    <t>University of California, Irvine</t>
  </si>
  <si>
    <t>Irvine</t>
  </si>
  <si>
    <t>University of Cologne</t>
  </si>
  <si>
    <t>Cologne</t>
  </si>
  <si>
    <t>University of Leicester</t>
  </si>
  <si>
    <t>37.3</t>
  </si>
  <si>
    <t>Leicester</t>
  </si>
  <si>
    <t>North Carolina State University</t>
  </si>
  <si>
    <t>274</t>
  </si>
  <si>
    <t>37.2</t>
  </si>
  <si>
    <t>Raleigh</t>
  </si>
  <si>
    <t>Huazhong University of Science and Technology</t>
  </si>
  <si>
    <t>275</t>
  </si>
  <si>
    <t>37.1</t>
  </si>
  <si>
    <t>University of Milan</t>
  </si>
  <si>
    <t>37.0</t>
  </si>
  <si>
    <t>University of Strathclyde</t>
  </si>
  <si>
    <t>University of Miami</t>
  </si>
  <si>
    <t>36.9</t>
  </si>
  <si>
    <t>Miami</t>
  </si>
  <si>
    <t>University of Navarra</t>
  </si>
  <si>
    <t>280</t>
  </si>
  <si>
    <t>36.8</t>
  </si>
  <si>
    <t>Pamplona</t>
  </si>
  <si>
    <t>Bandung Institute of Technology</t>
  </si>
  <si>
    <t>36.6</t>
  </si>
  <si>
    <t>Indonesia</t>
  </si>
  <si>
    <t>Bandung</t>
  </si>
  <si>
    <t>University of Bergen</t>
  </si>
  <si>
    <t>Bergen</t>
  </si>
  <si>
    <t>Stellenbosch University</t>
  </si>
  <si>
    <t>283</t>
  </si>
  <si>
    <t>36.5</t>
  </si>
  <si>
    <t>Stellenbosch</t>
  </si>
  <si>
    <t>Swinburne University of Technology</t>
  </si>
  <si>
    <t>36.1</t>
  </si>
  <si>
    <t>Tianjin University</t>
  </si>
  <si>
    <t>Tianjin</t>
  </si>
  <si>
    <t>University of Galway</t>
  </si>
  <si>
    <t>289</t>
  </si>
  <si>
    <t>36.0</t>
  </si>
  <si>
    <t>Galway</t>
  </si>
  <si>
    <t>United Arab Emirates University</t>
  </si>
  <si>
    <t>290</t>
  </si>
  <si>
    <t>35.9</t>
  </si>
  <si>
    <t>United Arab Emirates</t>
  </si>
  <si>
    <t>Al Ain</t>
  </si>
  <si>
    <t>74:26:00</t>
  </si>
  <si>
    <t>Xi’an Jiaotong University</t>
  </si>
  <si>
    <t>291</t>
  </si>
  <si>
    <t>35.8</t>
  </si>
  <si>
    <t>Xi'an</t>
  </si>
  <si>
    <t>University College Cork</t>
  </si>
  <si>
    <t>35.7</t>
  </si>
  <si>
    <t>Cork</t>
  </si>
  <si>
    <t>Université Grenoble Alpes</t>
  </si>
  <si>
    <t>294</t>
  </si>
  <si>
    <t>35.6</t>
  </si>
  <si>
    <t>Grenoble</t>
  </si>
  <si>
    <t>Hong Kong Baptist University</t>
  </si>
  <si>
    <t>35.4</t>
  </si>
  <si>
    <t>65:35:00</t>
  </si>
  <si>
    <t>Georgetown University</t>
  </si>
  <si>
    <t>297</t>
  </si>
  <si>
    <t>35.3</t>
  </si>
  <si>
    <t>Washington D.C.</t>
  </si>
  <si>
    <t>Dalhousie University</t>
  </si>
  <si>
    <t>298</t>
  </si>
  <si>
    <t>34.9</t>
  </si>
  <si>
    <t>Halifax</t>
  </si>
  <si>
    <t>Virginia Polytechnic Institute and State University</t>
  </si>
  <si>
    <t>34.5</t>
  </si>
  <si>
    <t>Blacksburg</t>
  </si>
  <si>
    <t>Jagiellonian University</t>
  </si>
  <si>
    <t>34.3</t>
  </si>
  <si>
    <t>Poland</t>
  </si>
  <si>
    <t>Krakow</t>
  </si>
  <si>
    <t>University of Notre Dame</t>
  </si>
  <si>
    <t>Notre Dame</t>
  </si>
  <si>
    <t>University of Johannesburg</t>
  </si>
  <si>
    <t>306</t>
  </si>
  <si>
    <t>34.0</t>
  </si>
  <si>
    <t>Johannesburg</t>
  </si>
  <si>
    <t>Daegu Gyeongbuk Institute of Science and Technology</t>
  </si>
  <si>
    <t>307</t>
  </si>
  <si>
    <t>Swansea University</t>
  </si>
  <si>
    <t>33.9</t>
  </si>
  <si>
    <t>Swansea</t>
  </si>
  <si>
    <t>University of Tasmania</t>
  </si>
  <si>
    <t>Hobart</t>
  </si>
  <si>
    <t>University of Oulu</t>
  </si>
  <si>
    <t>33.5</t>
  </si>
  <si>
    <t>Oulu</t>
  </si>
  <si>
    <t>Quaid-i-Azam University</t>
  </si>
  <si>
    <t>33.4</t>
  </si>
  <si>
    <t>Pakistan</t>
  </si>
  <si>
    <t>Islamabad</t>
  </si>
  <si>
    <t>University of Turku</t>
  </si>
  <si>
    <t>Turku</t>
  </si>
  <si>
    <t>Simon Fraser University</t>
  </si>
  <si>
    <t>318</t>
  </si>
  <si>
    <t>33.3</t>
  </si>
  <si>
    <t>Burnaby</t>
  </si>
  <si>
    <t>Bauman Moscow State Technical University</t>
  </si>
  <si>
    <t>33.2</t>
  </si>
  <si>
    <t>Sun Yat-sen University</t>
  </si>
  <si>
    <t>32.8</t>
  </si>
  <si>
    <t>Guangzhou</t>
  </si>
  <si>
    <t>University of Pretoria</t>
  </si>
  <si>
    <t>Pretoria</t>
  </si>
  <si>
    <t>University of South Australia</t>
  </si>
  <si>
    <t>32.7</t>
  </si>
  <si>
    <t>Magill</t>
  </si>
  <si>
    <t>City, University of London</t>
  </si>
  <si>
    <t>32.6</t>
  </si>
  <si>
    <t>Gwangju Institute of Science and Technology</t>
  </si>
  <si>
    <t>Gwangju</t>
  </si>
  <si>
    <t>26 : 74</t>
  </si>
  <si>
    <t>Kyung Hee University</t>
  </si>
  <si>
    <t>32.5</t>
  </si>
  <si>
    <t>University of California, Santa Cruz</t>
  </si>
  <si>
    <t>Santa Cruz</t>
  </si>
  <si>
    <t>Sharif University of Technology</t>
  </si>
  <si>
    <t>334</t>
  </si>
  <si>
    <t>32.4</t>
  </si>
  <si>
    <t>Iran, Islamic Republic of</t>
  </si>
  <si>
    <t>Tehran</t>
  </si>
  <si>
    <t>Aalborg University</t>
  </si>
  <si>
    <t>32.2</t>
  </si>
  <si>
    <t>Aalborg</t>
  </si>
  <si>
    <t>Middle East Technical University</t>
  </si>
  <si>
    <t>Turkey</t>
  </si>
  <si>
    <t>Ankara</t>
  </si>
  <si>
    <t>University of Kent</t>
  </si>
  <si>
    <t>Canterbury</t>
  </si>
  <si>
    <t>Beijing Institute of Technology</t>
  </si>
  <si>
    <t>32.1</t>
  </si>
  <si>
    <t>George Washington University</t>
  </si>
  <si>
    <t>Ashburn</t>
  </si>
  <si>
    <t>RUDN University</t>
  </si>
  <si>
    <t>342</t>
  </si>
  <si>
    <t>32.0</t>
  </si>
  <si>
    <t>Brunel University London</t>
  </si>
  <si>
    <t>343</t>
  </si>
  <si>
    <t>31.9</t>
  </si>
  <si>
    <t>University of Aveiro</t>
  </si>
  <si>
    <t>344</t>
  </si>
  <si>
    <t>31.6</t>
  </si>
  <si>
    <t>Aveiro</t>
  </si>
  <si>
    <t>University of Saskatchewan</t>
  </si>
  <si>
    <t>31.5</t>
  </si>
  <si>
    <t>Saskatoon</t>
  </si>
  <si>
    <t>National Technical University of Athens</t>
  </si>
  <si>
    <t>31.4</t>
  </si>
  <si>
    <t>Greece</t>
  </si>
  <si>
    <t>Athens</t>
  </si>
  <si>
    <t>University of Pisa</t>
  </si>
  <si>
    <t>31.3</t>
  </si>
  <si>
    <t>Pisa</t>
  </si>
  <si>
    <t>Lappeenranta-Lahti University of Technology LUT</t>
  </si>
  <si>
    <t>31.2</t>
  </si>
  <si>
    <t xml:space="preserve">Lappeenranta </t>
  </si>
  <si>
    <t>University of Coimbra</t>
  </si>
  <si>
    <t>Coimbra</t>
  </si>
  <si>
    <t>York University</t>
  </si>
  <si>
    <t>353</t>
  </si>
  <si>
    <t>31.1</t>
  </si>
  <si>
    <t>Sichuan University</t>
  </si>
  <si>
    <t>30.9</t>
  </si>
  <si>
    <t>Chengdu</t>
  </si>
  <si>
    <t>University of Tsukuba</t>
  </si>
  <si>
    <t>Tsukuba City</t>
  </si>
  <si>
    <t>38 : 62</t>
  </si>
  <si>
    <t>University of Florence</t>
  </si>
  <si>
    <t>30.8</t>
  </si>
  <si>
    <t>Florence</t>
  </si>
  <si>
    <t>University of Tartu</t>
  </si>
  <si>
    <t>Estonia</t>
  </si>
  <si>
    <t>Tartu</t>
  </si>
  <si>
    <t>68:32:00</t>
  </si>
  <si>
    <t>University of Tehran</t>
  </si>
  <si>
    <t>30.7</t>
  </si>
  <si>
    <t>0.274305556</t>
  </si>
  <si>
    <t>American University of Sharjah</t>
  </si>
  <si>
    <t>30.3</t>
  </si>
  <si>
    <t>Sharjah</t>
  </si>
  <si>
    <t>University of Turin</t>
  </si>
  <si>
    <t>Turin</t>
  </si>
  <si>
    <t>Cairo University</t>
  </si>
  <si>
    <t>29.9</t>
  </si>
  <si>
    <t>Egypt</t>
  </si>
  <si>
    <t>Giza</t>
  </si>
  <si>
    <t>Tilburg University</t>
  </si>
  <si>
    <t>Tilburg</t>
  </si>
  <si>
    <t>Amirkabir University of Technology</t>
  </si>
  <si>
    <t>29.5</t>
  </si>
  <si>
    <t>Tufts University</t>
  </si>
  <si>
    <t>379</t>
  </si>
  <si>
    <t>29.4</t>
  </si>
  <si>
    <t>Medford</t>
  </si>
  <si>
    <t>Flinders University</t>
  </si>
  <si>
    <t>380</t>
  </si>
  <si>
    <t>29.2</t>
  </si>
  <si>
    <t>Adelaide</t>
  </si>
  <si>
    <t>University of Luxembourg</t>
  </si>
  <si>
    <t>381</t>
  </si>
  <si>
    <t>29.1</t>
  </si>
  <si>
    <t>Luxembourg</t>
  </si>
  <si>
    <t>Esch-sur-Alzette</t>
  </si>
  <si>
    <t>Mahidol University</t>
  </si>
  <si>
    <t>29.0</t>
  </si>
  <si>
    <t>Nakhon Pathom</t>
  </si>
  <si>
    <t>Nankai University</t>
  </si>
  <si>
    <t>28.6</t>
  </si>
  <si>
    <t>Aix-Marseille University</t>
  </si>
  <si>
    <t>28.3</t>
  </si>
  <si>
    <t>Marseille</t>
  </si>
  <si>
    <t>Belarusian State University</t>
  </si>
  <si>
    <t>Belarus</t>
  </si>
  <si>
    <t>Minsk</t>
  </si>
  <si>
    <t>Concordia University</t>
  </si>
  <si>
    <t>National Taiwan University of Science and Technology</t>
  </si>
  <si>
    <t>South China University of Technology</t>
  </si>
  <si>
    <t>28.2</t>
  </si>
  <si>
    <t>Xiamen University</t>
  </si>
  <si>
    <t>Xiamen</t>
  </si>
  <si>
    <t>HSE University</t>
  </si>
  <si>
    <t>399</t>
  </si>
  <si>
    <t>28.0</t>
  </si>
  <si>
    <t>Iowa State University</t>
  </si>
  <si>
    <t>27.9</t>
  </si>
  <si>
    <t>Ames</t>
  </si>
  <si>
    <t>Masaryk University</t>
  </si>
  <si>
    <t>Brno</t>
  </si>
  <si>
    <t>University of Granada</t>
  </si>
  <si>
    <t>403</t>
  </si>
  <si>
    <t>27.8</t>
  </si>
  <si>
    <t>Granada</t>
  </si>
  <si>
    <t>Istanbul Technical University</t>
  </si>
  <si>
    <t>27.6</t>
  </si>
  <si>
    <t>Maslak-Istanbul</t>
  </si>
  <si>
    <t>University of California, Riverside</t>
  </si>
  <si>
    <t>Riverside</t>
  </si>
  <si>
    <t>University of the Philippines</t>
  </si>
  <si>
    <t>Philippines</t>
  </si>
  <si>
    <t>Quezon City</t>
  </si>
  <si>
    <t>University of Delhi</t>
  </si>
  <si>
    <t>27.4</t>
  </si>
  <si>
    <t>New Delhi</t>
  </si>
  <si>
    <t>University of Kansas</t>
  </si>
  <si>
    <t>27.2</t>
  </si>
  <si>
    <t>Lawrence</t>
  </si>
  <si>
    <t>Oxford Brookes University</t>
  </si>
  <si>
    <t>27.1</t>
  </si>
  <si>
    <t>James Cook University</t>
  </si>
  <si>
    <t>27.0</t>
  </si>
  <si>
    <t>Townsville</t>
  </si>
  <si>
    <t>Tomsk State University</t>
  </si>
  <si>
    <t>418</t>
  </si>
  <si>
    <t>26.9</t>
  </si>
  <si>
    <t>Tomsk</t>
  </si>
  <si>
    <t>Washington State University</t>
  </si>
  <si>
    <t>26.8</t>
  </si>
  <si>
    <t>Pullman</t>
  </si>
  <si>
    <t>Graz University of Technology</t>
  </si>
  <si>
    <t>26.7</t>
  </si>
  <si>
    <t>Graz</t>
  </si>
  <si>
    <t>Novosibirsk State University</t>
  </si>
  <si>
    <t xml:space="preserve">Novosibirsk </t>
  </si>
  <si>
    <t>University of Limerick</t>
  </si>
  <si>
    <t>426</t>
  </si>
  <si>
    <t>26.6</t>
  </si>
  <si>
    <t>Limerick</t>
  </si>
  <si>
    <t>Anna University</t>
  </si>
  <si>
    <t>427</t>
  </si>
  <si>
    <t>26.5</t>
  </si>
  <si>
    <t>Chennai</t>
  </si>
  <si>
    <t>University of Trento</t>
  </si>
  <si>
    <t>26.3</t>
  </si>
  <si>
    <t>Trento</t>
  </si>
  <si>
    <t>Koç University</t>
  </si>
  <si>
    <t>26.2</t>
  </si>
  <si>
    <t>Istanbul</t>
  </si>
  <si>
    <t>Murdoch University</t>
  </si>
  <si>
    <t>Murdoch</t>
  </si>
  <si>
    <t>National Taipei University of Technology</t>
  </si>
  <si>
    <t>National Taiwan Normal University</t>
  </si>
  <si>
    <t>University of Stirling</t>
  </si>
  <si>
    <t>Stirling</t>
  </si>
  <si>
    <t>Dublin City University</t>
  </si>
  <si>
    <t>26.0</t>
  </si>
  <si>
    <t>Tampere University</t>
  </si>
  <si>
    <t>Tampere</t>
  </si>
  <si>
    <t>Université Laval</t>
  </si>
  <si>
    <t>25.9</t>
  </si>
  <si>
    <t>Québec</t>
  </si>
  <si>
    <t>University of Utah</t>
  </si>
  <si>
    <t>Salt Lake City</t>
  </si>
  <si>
    <t>National and Kapodistrian University of Athens</t>
  </si>
  <si>
    <t>25.8</t>
  </si>
  <si>
    <t>University of Connecticut</t>
  </si>
  <si>
    <t>Storrs</t>
  </si>
  <si>
    <t>Aston University</t>
  </si>
  <si>
    <t>25.7</t>
  </si>
  <si>
    <t>University of Jyväskylä</t>
  </si>
  <si>
    <t>Jyväskylä</t>
  </si>
  <si>
    <t>Iran University of Science and Technology</t>
  </si>
  <si>
    <t>451</t>
  </si>
  <si>
    <t>25.6</t>
  </si>
  <si>
    <t>Czech Technical University in Prague</t>
  </si>
  <si>
    <t>25.2</t>
  </si>
  <si>
    <t>Southeast University</t>
  </si>
  <si>
    <t>Sultan Qaboos University</t>
  </si>
  <si>
    <t>Oman</t>
  </si>
  <si>
    <t>Muscat</t>
  </si>
  <si>
    <t>Florida State University</t>
  </si>
  <si>
    <t>24.9</t>
  </si>
  <si>
    <t>Tallahassee</t>
  </si>
  <si>
    <t>University of Bordeaux</t>
  </si>
  <si>
    <t>24.7</t>
  </si>
  <si>
    <t>Talence</t>
  </si>
  <si>
    <t>University of Sharjah</t>
  </si>
  <si>
    <t>Illinois Institute of Technology</t>
  </si>
  <si>
    <t>24.6</t>
  </si>
  <si>
    <t>Chicago</t>
  </si>
  <si>
    <t>Hiroshima University</t>
  </si>
  <si>
    <t>472</t>
  </si>
  <si>
    <t>24.5</t>
  </si>
  <si>
    <t>Higashihiroshima City</t>
  </si>
  <si>
    <t>Kobe University</t>
  </si>
  <si>
    <t>24.3</t>
  </si>
  <si>
    <t>Kobe City</t>
  </si>
  <si>
    <t>Missouri University of Science and Technology</t>
  </si>
  <si>
    <t>480</t>
  </si>
  <si>
    <t>24.0</t>
  </si>
  <si>
    <t>Rolla</t>
  </si>
  <si>
    <t>24 : 76</t>
  </si>
  <si>
    <t>Bangor University</t>
  </si>
  <si>
    <t>23.9</t>
  </si>
  <si>
    <t>Leibniz University Hannover</t>
  </si>
  <si>
    <t>Satbayev University</t>
  </si>
  <si>
    <t>University of Electronic Science and Technology of China</t>
  </si>
  <si>
    <t>23.7</t>
  </si>
  <si>
    <t>University of Guelph</t>
  </si>
  <si>
    <t>Guelph</t>
  </si>
  <si>
    <t>Dalian University of Technology</t>
  </si>
  <si>
    <t>23.5</t>
  </si>
  <si>
    <t>Dalian</t>
  </si>
  <si>
    <t>University of Iowa</t>
  </si>
  <si>
    <t>Iowa City</t>
  </si>
  <si>
    <t>Rensselaer Polytechnic Institute</t>
  </si>
  <si>
    <t>23.4</t>
  </si>
  <si>
    <t>Troy</t>
  </si>
  <si>
    <t>Ewha Womans University</t>
  </si>
  <si>
    <t>23.2</t>
  </si>
  <si>
    <t>100:00:00</t>
  </si>
  <si>
    <t>Ulster University</t>
  </si>
  <si>
    <t>Coleraine</t>
  </si>
  <si>
    <t>University of Delaware</t>
  </si>
  <si>
    <t>Newark</t>
  </si>
  <si>
    <t>Bilkent University</t>
  </si>
  <si>
    <t>23.1</t>
  </si>
  <si>
    <t>University of Portsmouth</t>
  </si>
  <si>
    <t>Portsmouth</t>
  </si>
  <si>
    <t>Macau University of Science and Technology</t>
  </si>
  <si>
    <t>23.0</t>
  </si>
  <si>
    <t>Sogang University</t>
  </si>
  <si>
    <t>22.9</t>
  </si>
  <si>
    <t>University of Bayreuth</t>
  </si>
  <si>
    <t>Bayreuth</t>
  </si>
  <si>
    <t>East China Normal University</t>
  </si>
  <si>
    <t>22.8</t>
  </si>
  <si>
    <t>Boğaziçi University</t>
  </si>
  <si>
    <t>22.7</t>
  </si>
  <si>
    <t>Duy Tan University</t>
  </si>
  <si>
    <t>Vietnam</t>
  </si>
  <si>
    <t>Da Nang</t>
  </si>
  <si>
    <t>Private for Profit</t>
  </si>
  <si>
    <t>Shanghai University</t>
  </si>
  <si>
    <t>Kyungpook National University</t>
  </si>
  <si>
    <t>22.6</t>
  </si>
  <si>
    <t>Daegu</t>
  </si>
  <si>
    <t>University of Hull</t>
  </si>
  <si>
    <t>22.5</t>
  </si>
  <si>
    <t>Hull</t>
  </si>
  <si>
    <t>Aristotle University of Thessaloniki</t>
  </si>
  <si>
    <t>22.1</t>
  </si>
  <si>
    <t>Thessaloniki</t>
  </si>
  <si>
    <t>University of Genoa</t>
  </si>
  <si>
    <t>Genoa</t>
  </si>
  <si>
    <t>University of Crete</t>
  </si>
  <si>
    <t>22.0</t>
  </si>
  <si>
    <t>Heraklion</t>
  </si>
  <si>
    <t>University of Salamanca</t>
  </si>
  <si>
    <t>Salamanca</t>
  </si>
  <si>
    <t>ITMO University</t>
  </si>
  <si>
    <t>21.7</t>
  </si>
  <si>
    <t>St. Petersburg</t>
  </si>
  <si>
    <t>Bar-Ilan University</t>
  </si>
  <si>
    <t>21.5</t>
  </si>
  <si>
    <t>Ramat Gan</t>
  </si>
  <si>
    <t>Lehigh University</t>
  </si>
  <si>
    <t>21.4</t>
  </si>
  <si>
    <t>Bethlehem</t>
  </si>
  <si>
    <t>University of Eastern Finland</t>
  </si>
  <si>
    <t>Kuopio</t>
  </si>
  <si>
    <t>Florida International University</t>
  </si>
  <si>
    <t>21.1</t>
  </si>
  <si>
    <t>University of Chemistry and Technology, Prague</t>
  </si>
  <si>
    <t>Chongqing University</t>
  </si>
  <si>
    <t>21.0</t>
  </si>
  <si>
    <t>Chongqing</t>
  </si>
  <si>
    <t>University of Plymouth</t>
  </si>
  <si>
    <t>Plymouth</t>
  </si>
  <si>
    <t>Ateneo de Manila University</t>
  </si>
  <si>
    <t>20.9</t>
  </si>
  <si>
    <t>University of South Florida</t>
  </si>
  <si>
    <t>Tampa</t>
  </si>
  <si>
    <t>Bond University</t>
  </si>
  <si>
    <t>20.8</t>
  </si>
  <si>
    <t>Gold Coast</t>
  </si>
  <si>
    <t>National Chengchi University</t>
  </si>
  <si>
    <t>University of Huddersfield</t>
  </si>
  <si>
    <t>Huddersfield</t>
  </si>
  <si>
    <t>Chiang Mai University</t>
  </si>
  <si>
    <t>20.7</t>
  </si>
  <si>
    <t>Chiang Mai</t>
  </si>
  <si>
    <t>Coventry University</t>
  </si>
  <si>
    <t>Coventry</t>
  </si>
  <si>
    <t>Warsaw University of Technology</t>
  </si>
  <si>
    <t>Warsaw</t>
  </si>
  <si>
    <t>Lebanese University</t>
  </si>
  <si>
    <t>20.5</t>
  </si>
  <si>
    <t>Lebanon</t>
  </si>
  <si>
    <t>Beirut</t>
  </si>
  <si>
    <t>70:30:00</t>
  </si>
  <si>
    <t>Abu Dhabi University</t>
  </si>
  <si>
    <t>20.4</t>
  </si>
  <si>
    <t>Abu Dhabi</t>
  </si>
  <si>
    <t>University of Klagenfurt</t>
  </si>
  <si>
    <t>Klagenfurt</t>
  </si>
  <si>
    <t>Sunway University</t>
  </si>
  <si>
    <t>20.2</t>
  </si>
  <si>
    <t>Malaysia</t>
  </si>
  <si>
    <t>Petaling Jaya</t>
  </si>
  <si>
    <t>Goldsmiths, University of London</t>
  </si>
  <si>
    <t>20.0</t>
  </si>
  <si>
    <t>University of Central Florida</t>
  </si>
  <si>
    <t>Orlando</t>
  </si>
  <si>
    <t>Nottingham Trent University</t>
  </si>
  <si>
    <t>19.9</t>
  </si>
  <si>
    <t>Shenzhen University</t>
  </si>
  <si>
    <t>Shenzhen</t>
  </si>
  <si>
    <t>Thammasat University</t>
  </si>
  <si>
    <t>19.8</t>
  </si>
  <si>
    <t>Tulane University</t>
  </si>
  <si>
    <t>New Orleans</t>
  </si>
  <si>
    <t>Drexel University</t>
  </si>
  <si>
    <t>601-610</t>
  </si>
  <si>
    <t>Not Published</t>
  </si>
  <si>
    <t>Jawaharlal Nehru University</t>
  </si>
  <si>
    <t>University of Szeged</t>
  </si>
  <si>
    <t>Hungary</t>
  </si>
  <si>
    <t>Szeged</t>
  </si>
  <si>
    <t>Brno University of Technology</t>
  </si>
  <si>
    <t>611-620</t>
  </si>
  <si>
    <t>National Central University</t>
  </si>
  <si>
    <t>Taoyuan City</t>
  </si>
  <si>
    <t>Pusan National University</t>
  </si>
  <si>
    <t>Busan</t>
  </si>
  <si>
    <t>Tokyo Medical and Dental University</t>
  </si>
  <si>
    <t>University of Minho</t>
  </si>
  <si>
    <t>Braga</t>
  </si>
  <si>
    <t>Chang Gung University</t>
  </si>
  <si>
    <t>621-630</t>
  </si>
  <si>
    <t>Northwestern Polytechnical University</t>
  </si>
  <si>
    <t>Stevens Institute of Technology</t>
  </si>
  <si>
    <t>Hoboken</t>
  </si>
  <si>
    <t>Universitat Ramon Llull</t>
  </si>
  <si>
    <t>Barcelona</t>
  </si>
  <si>
    <t>University of Ljubljana</t>
  </si>
  <si>
    <t>Slovenia</t>
  </si>
  <si>
    <t>Ljubljana</t>
  </si>
  <si>
    <t>University of the Basque Country</t>
  </si>
  <si>
    <t>Leioa</t>
  </si>
  <si>
    <t>Zhengzhou University</t>
  </si>
  <si>
    <t>Boston College</t>
  </si>
  <si>
    <t>631-640</t>
  </si>
  <si>
    <t>Newton</t>
  </si>
  <si>
    <t>Palacký University Olomouc</t>
  </si>
  <si>
    <t>Olomouc</t>
  </si>
  <si>
    <t>Ritsumeikan University</t>
  </si>
  <si>
    <t>Far Eastern Federal University</t>
  </si>
  <si>
    <t>641-650</t>
  </si>
  <si>
    <t>Vladivostok</t>
  </si>
  <si>
    <t>Free University of Bozen-Bolzano</t>
  </si>
  <si>
    <t>Bolzano</t>
  </si>
  <si>
    <t>Memorial University of Newfoundland</t>
  </si>
  <si>
    <t>St. John's</t>
  </si>
  <si>
    <t>The New School</t>
  </si>
  <si>
    <t>New York</t>
  </si>
  <si>
    <t>73:27:00</t>
  </si>
  <si>
    <t>University of Bradford</t>
  </si>
  <si>
    <t>Bradford</t>
  </si>
  <si>
    <t>University of Houston</t>
  </si>
  <si>
    <t>University of Modena and Reggio Emilia</t>
  </si>
  <si>
    <t>Modena</t>
  </si>
  <si>
    <t>University of Windsor</t>
  </si>
  <si>
    <t>Windsor</t>
  </si>
  <si>
    <t>COMSATS University Islamabad</t>
  </si>
  <si>
    <t>651-660</t>
  </si>
  <si>
    <t>University of Haifa</t>
  </si>
  <si>
    <t>Haifa</t>
  </si>
  <si>
    <t>University of Hohenheim</t>
  </si>
  <si>
    <t>Stuttgart</t>
  </si>
  <si>
    <t>Aberystwyth University</t>
  </si>
  <si>
    <t>661-670</t>
  </si>
  <si>
    <t>Aberystwyth</t>
  </si>
  <si>
    <t>Brandeis University</t>
  </si>
  <si>
    <t>Waltham</t>
  </si>
  <si>
    <t>Lebanese American University</t>
  </si>
  <si>
    <t>Byblos</t>
  </si>
  <si>
    <t>Middlesex University</t>
  </si>
  <si>
    <t>National Chung Hsing University</t>
  </si>
  <si>
    <t>Taichung City</t>
  </si>
  <si>
    <t>Princess Nourah bint Abdulrahman University</t>
  </si>
  <si>
    <t>Tokyo University of Science</t>
  </si>
  <si>
    <t>Kagurazaka</t>
  </si>
  <si>
    <t>Universidad Panamericana</t>
  </si>
  <si>
    <t>Mexico</t>
  </si>
  <si>
    <t>Latin America</t>
  </si>
  <si>
    <t>Mexico City</t>
  </si>
  <si>
    <t>Universitas Padjadjaran</t>
  </si>
  <si>
    <t>Carleton University</t>
  </si>
  <si>
    <t>671-680</t>
  </si>
  <si>
    <t>University of Debrecen</t>
  </si>
  <si>
    <t>Debrecen</t>
  </si>
  <si>
    <t>University of Greenwich</t>
  </si>
  <si>
    <t>University of Manitoba</t>
  </si>
  <si>
    <t>Winnipeg</t>
  </si>
  <si>
    <t>De La Salle University</t>
  </si>
  <si>
    <t>681-690</t>
  </si>
  <si>
    <t>Manila</t>
  </si>
  <si>
    <t>East China University of Science and Technology</t>
  </si>
  <si>
    <t>Shiraz University</t>
  </si>
  <si>
    <t>Shiraz</t>
  </si>
  <si>
    <t>Taras Shevchenko National University of Kyiv</t>
  </si>
  <si>
    <t>Ukraine</t>
  </si>
  <si>
    <t>Kyiv</t>
  </si>
  <si>
    <t>University of Kentucky</t>
  </si>
  <si>
    <t>Lexington</t>
  </si>
  <si>
    <t>Inha University</t>
  </si>
  <si>
    <t>691-700</t>
  </si>
  <si>
    <t>Incheon</t>
  </si>
  <si>
    <t>University of Dhaka</t>
  </si>
  <si>
    <t>Bangladesh</t>
  </si>
  <si>
    <t>Dhaka</t>
  </si>
  <si>
    <t>University of Trieste</t>
  </si>
  <si>
    <t>Trieste</t>
  </si>
  <si>
    <t>Altai State University</t>
  </si>
  <si>
    <t>701-710</t>
  </si>
  <si>
    <t>Barnaul</t>
  </si>
  <si>
    <t>Chiba University</t>
  </si>
  <si>
    <t>Chiba City</t>
  </si>
  <si>
    <t>Eötvös Loránd University</t>
  </si>
  <si>
    <t>Budapest</t>
  </si>
  <si>
    <t>Wake Forest University</t>
  </si>
  <si>
    <t>Winston-Salem</t>
  </si>
  <si>
    <t>Zayed University</t>
  </si>
  <si>
    <t>Abu Dhabi,</t>
  </si>
  <si>
    <t>87:13:00</t>
  </si>
  <si>
    <t>Istanbul University</t>
  </si>
  <si>
    <t>711-720</t>
  </si>
  <si>
    <t>Savitribai Phule Pune University</t>
  </si>
  <si>
    <t>Pune</t>
  </si>
  <si>
    <t>University of Maryland, Baltimore County</t>
  </si>
  <si>
    <t>University of Westminster</t>
  </si>
  <si>
    <t>Jeonbuk National University</t>
  </si>
  <si>
    <t>721-730</t>
  </si>
  <si>
    <t>Jeonju</t>
  </si>
  <si>
    <t>Temple University</t>
  </si>
  <si>
    <t>Ton Duc Thang University</t>
  </si>
  <si>
    <t>Ho Chi Minh City</t>
  </si>
  <si>
    <t>University of Belgrade</t>
  </si>
  <si>
    <t>Serbia</t>
  </si>
  <si>
    <t>Belgrade</t>
  </si>
  <si>
    <t>University of Oregon</t>
  </si>
  <si>
    <t>Eugene</t>
  </si>
  <si>
    <t>Adam Mickiewicz University, Poznań</t>
  </si>
  <si>
    <t>731-740</t>
  </si>
  <si>
    <t>Poznań</t>
  </si>
  <si>
    <t>Alfaisal University</t>
  </si>
  <si>
    <t>Private not for Profit</t>
  </si>
  <si>
    <t>Bournemouth University</t>
  </si>
  <si>
    <t>Poole</t>
  </si>
  <si>
    <t>University of Siena</t>
  </si>
  <si>
    <t>Siena</t>
  </si>
  <si>
    <t>Budapest University of Technology and Economics</t>
  </si>
  <si>
    <t>741-750</t>
  </si>
  <si>
    <t>Instituto Politécnico Nacional</t>
  </si>
  <si>
    <t>Ciudad de México</t>
  </si>
  <si>
    <t>Jadavpur University</t>
  </si>
  <si>
    <t>Kolkata</t>
  </si>
  <si>
    <t>University of the Punjab</t>
  </si>
  <si>
    <t>Lahore</t>
  </si>
  <si>
    <t>University of the West of England</t>
  </si>
  <si>
    <t>Kasetsart University</t>
  </si>
  <si>
    <t>751-760</t>
  </si>
  <si>
    <t>Liverpool John Moores University</t>
  </si>
  <si>
    <t xml:space="preserve">Liverpool </t>
  </si>
  <si>
    <t>Riga Technical University</t>
  </si>
  <si>
    <t>Latvia</t>
  </si>
  <si>
    <t>Riga</t>
  </si>
  <si>
    <t>Université du Québec</t>
  </si>
  <si>
    <t>University of Zagreb</t>
  </si>
  <si>
    <t>Croatia</t>
  </si>
  <si>
    <t>Zagreb</t>
  </si>
  <si>
    <t>Wayne State University</t>
  </si>
  <si>
    <t>Detroit</t>
  </si>
  <si>
    <t>King Khalid University</t>
  </si>
  <si>
    <t>761-770</t>
  </si>
  <si>
    <t>Abha</t>
  </si>
  <si>
    <t>Universiti Tenaga Nasional</t>
  </si>
  <si>
    <t>Kajang</t>
  </si>
  <si>
    <t>Virginia Commonwealth University</t>
  </si>
  <si>
    <t>Richmond</t>
  </si>
  <si>
    <t>Sechenov University</t>
  </si>
  <si>
    <t>771-780</t>
  </si>
  <si>
    <t>69:31:00</t>
  </si>
  <si>
    <t>Shoolini University of Biotechnology and Management Sciences</t>
  </si>
  <si>
    <t>University of Brighton</t>
  </si>
  <si>
    <t>Brighton and Hove</t>
  </si>
  <si>
    <t>Syracuse University</t>
  </si>
  <si>
    <t>781-790</t>
  </si>
  <si>
    <t>Syracuse</t>
  </si>
  <si>
    <t>University of Alaska Fairbanks</t>
  </si>
  <si>
    <t>Americas</t>
  </si>
  <si>
    <t>United States of America</t>
  </si>
  <si>
    <t>American University</t>
  </si>
  <si>
    <t>791-800</t>
  </si>
  <si>
    <t>Clarkson University</t>
  </si>
  <si>
    <t>Potsdam</t>
  </si>
  <si>
    <t>Diponegoro University</t>
  </si>
  <si>
    <t>Semarang</t>
  </si>
  <si>
    <t>Plekhanov Russian University of Economics</t>
  </si>
  <si>
    <t>University of Brescia</t>
  </si>
  <si>
    <t>Brescia</t>
  </si>
  <si>
    <t>University of Engineering &amp; Technology Lahore</t>
  </si>
  <si>
    <t>University of Patras</t>
  </si>
  <si>
    <t>Patras</t>
  </si>
  <si>
    <t>Auburn University</t>
  </si>
  <si>
    <t>801-850</t>
  </si>
  <si>
    <t>Auburn</t>
  </si>
  <si>
    <t>Australian Catholic University</t>
  </si>
  <si>
    <t>76:24:00</t>
  </si>
  <si>
    <t>Bangladesh University of Engineering and Technology</t>
  </si>
  <si>
    <t>0.970833333</t>
  </si>
  <si>
    <t>Clark University</t>
  </si>
  <si>
    <t>Worcester</t>
  </si>
  <si>
    <t>De Montfort University</t>
  </si>
  <si>
    <t>Edinburgh Napier University</t>
  </si>
  <si>
    <t>Immanuel Kant Baltic Federal University</t>
  </si>
  <si>
    <t>Kaliningrad</t>
  </si>
  <si>
    <t>Ivane Javakhishvili Tbilisi State University</t>
  </si>
  <si>
    <t>Georgia</t>
  </si>
  <si>
    <t>Jouf University</t>
  </si>
  <si>
    <t>Sakaka</t>
  </si>
  <si>
    <t>Kaunas University of Technology</t>
  </si>
  <si>
    <t>Lithuania</t>
  </si>
  <si>
    <t>Kaunas</t>
  </si>
  <si>
    <t>Louisiana State University</t>
  </si>
  <si>
    <t>Baton Rouge</t>
  </si>
  <si>
    <t>Maynooth University</t>
  </si>
  <si>
    <t>Maynooth</t>
  </si>
  <si>
    <t>Nagasaki University</t>
  </si>
  <si>
    <t>Nagasaki City</t>
  </si>
  <si>
    <t>Nanjing University of Aeronautics and Astronautics</t>
  </si>
  <si>
    <t>North-West University</t>
  </si>
  <si>
    <t>Potchefstroom</t>
  </si>
  <si>
    <t>Texas Tech University</t>
  </si>
  <si>
    <t>Lubbock</t>
  </si>
  <si>
    <t>Universiti Tunku Abdul Rahman</t>
  </si>
  <si>
    <t>Sungai Long</t>
  </si>
  <si>
    <t>University of Alicante</t>
  </si>
  <si>
    <t>Alicante</t>
  </si>
  <si>
    <t>University of Calcutta</t>
  </si>
  <si>
    <t>University of Latvia</t>
  </si>
  <si>
    <t>University of Salerno</t>
  </si>
  <si>
    <t>Fisciano</t>
  </si>
  <si>
    <t>University of Santo Tomas</t>
  </si>
  <si>
    <t>Verona University</t>
  </si>
  <si>
    <t>Verona</t>
  </si>
  <si>
    <t>Vytautas Magnus University</t>
  </si>
  <si>
    <t>Yokohama City University</t>
  </si>
  <si>
    <t>Yokohama City</t>
  </si>
  <si>
    <t>Chonnam National University</t>
  </si>
  <si>
    <t>851-900</t>
  </si>
  <si>
    <t>Chungnam National University</t>
  </si>
  <si>
    <t>Daejeon</t>
  </si>
  <si>
    <t>CY Cergy Paris University</t>
  </si>
  <si>
    <t>Gdańsk University of Technology</t>
  </si>
  <si>
    <t>Gdańsk</t>
  </si>
  <si>
    <t>Georgia State University</t>
  </si>
  <si>
    <t>Kanazawa University</t>
  </si>
  <si>
    <t>Kanazawa</t>
  </si>
  <si>
    <t>King Faisal University</t>
  </si>
  <si>
    <t>Hofuf</t>
  </si>
  <si>
    <t>Kuwait University</t>
  </si>
  <si>
    <t>Kuwait</t>
  </si>
  <si>
    <t>Kuwait City</t>
  </si>
  <si>
    <t>London South Bank University</t>
  </si>
  <si>
    <t>National Research Saratov State University</t>
  </si>
  <si>
    <t>Saratov</t>
  </si>
  <si>
    <t>Niigata University</t>
  </si>
  <si>
    <t>Niigata City</t>
  </si>
  <si>
    <t>North South University</t>
  </si>
  <si>
    <t>Pavol Jozef Šafárik University in Košice</t>
  </si>
  <si>
    <t>Slovakia</t>
  </si>
  <si>
    <t>Košice</t>
  </si>
  <si>
    <t>Southern Federal University</t>
  </si>
  <si>
    <t>Rostov-on-Don</t>
  </si>
  <si>
    <t>Technological University Dublin</t>
  </si>
  <si>
    <t>TU Dortmund University</t>
  </si>
  <si>
    <t>Dortmund</t>
  </si>
  <si>
    <t>University of Bucharest</t>
  </si>
  <si>
    <t>Romania</t>
  </si>
  <si>
    <t>Bucharest</t>
  </si>
  <si>
    <t>University of East London</t>
  </si>
  <si>
    <t>University of Hertfordshire</t>
  </si>
  <si>
    <t>Hatfield</t>
  </si>
  <si>
    <t>University of Lincoln</t>
  </si>
  <si>
    <t>Lincoln</t>
  </si>
  <si>
    <t>University of Malta</t>
  </si>
  <si>
    <t>Malta</t>
  </si>
  <si>
    <t>Msida</t>
  </si>
  <si>
    <t>University of Maribor</t>
  </si>
  <si>
    <t>Maribor</t>
  </si>
  <si>
    <t>University of Palermo</t>
  </si>
  <si>
    <t>Palermo</t>
  </si>
  <si>
    <t>University of Parma</t>
  </si>
  <si>
    <t>Parma</t>
  </si>
  <si>
    <t>University of Salford</t>
  </si>
  <si>
    <t>Salford</t>
  </si>
  <si>
    <t>University of South Africa</t>
  </si>
  <si>
    <t>Worcester Polytechnic Institute</t>
  </si>
  <si>
    <t>Athens University of Economics and Business</t>
  </si>
  <si>
    <t>901-950</t>
  </si>
  <si>
    <t>Donghua University</t>
  </si>
  <si>
    <t>Kumamoto University</t>
  </si>
  <si>
    <t>Kumamoto City</t>
  </si>
  <si>
    <t>Mendel University in Brno</t>
  </si>
  <si>
    <t>National Chung Cheng University</t>
  </si>
  <si>
    <t>Minxiong Township</t>
  </si>
  <si>
    <t>Okayama University</t>
  </si>
  <si>
    <t>Okayama City</t>
  </si>
  <si>
    <t>Prince of Songkla University</t>
  </si>
  <si>
    <t>Hat Yai</t>
  </si>
  <si>
    <t>Qassim University</t>
  </si>
  <si>
    <t>Buraydah</t>
  </si>
  <si>
    <t>Robert Gordon University</t>
  </si>
  <si>
    <t>Samara National Research University</t>
  </si>
  <si>
    <t>Samara</t>
  </si>
  <si>
    <t>University of Central Lancashire</t>
  </si>
  <si>
    <t>Preston</t>
  </si>
  <si>
    <t>University of Denver</t>
  </si>
  <si>
    <t>Denver</t>
  </si>
  <si>
    <t>University of Murcia</t>
  </si>
  <si>
    <t>Murcia</t>
  </si>
  <si>
    <t>Birla Institute of Technology and Science, Pilani</t>
  </si>
  <si>
    <t>951-1000</t>
  </si>
  <si>
    <t>Pilani</t>
  </si>
  <si>
    <t>0.888888889</t>
  </si>
  <si>
    <t>George Mason University</t>
  </si>
  <si>
    <t>Fairfax</t>
  </si>
  <si>
    <t>Gifu University</t>
  </si>
  <si>
    <t>Gifu City</t>
  </si>
  <si>
    <t>Gunma University</t>
  </si>
  <si>
    <t>Maebashi</t>
  </si>
  <si>
    <t>Jamia Millia Islamia</t>
  </si>
  <si>
    <t>Khon Kaen University</t>
  </si>
  <si>
    <t>Khon Kaen</t>
  </si>
  <si>
    <t>Lviv Polytechnic National University</t>
  </si>
  <si>
    <t>Makerere University</t>
  </si>
  <si>
    <t>Uganda</t>
  </si>
  <si>
    <t>Kampala</t>
  </si>
  <si>
    <t>Sumy State University</t>
  </si>
  <si>
    <t>Sumy</t>
  </si>
  <si>
    <t>The University of Alabama</t>
  </si>
  <si>
    <t>Tuscaloosa</t>
  </si>
  <si>
    <t>Tokyo Metropolitan University</t>
  </si>
  <si>
    <t>University of Baghdad</t>
  </si>
  <si>
    <t>Iraq</t>
  </si>
  <si>
    <t>Baghdad</t>
  </si>
  <si>
    <t>University of Calabria</t>
  </si>
  <si>
    <t>Rende</t>
  </si>
  <si>
    <t>University of Ghana</t>
  </si>
  <si>
    <t>Ghana</t>
  </si>
  <si>
    <t>Legon</t>
  </si>
  <si>
    <t>University of Peshawar</t>
  </si>
  <si>
    <t>Peshawar</t>
  </si>
  <si>
    <t>0.806944444</t>
  </si>
  <si>
    <t>University of the Western Cape</t>
  </si>
  <si>
    <t>Yokohama National University</t>
  </si>
  <si>
    <t>University of Ioannina</t>
  </si>
  <si>
    <t>1001-1200</t>
  </si>
  <si>
    <t>Aligarh Muslim University</t>
  </si>
  <si>
    <t>Aligarh</t>
  </si>
  <si>
    <t>Amity University</t>
  </si>
  <si>
    <t>Noida</t>
  </si>
  <si>
    <t>Amrita Vishwa Vidyapeetham</t>
  </si>
  <si>
    <t>Amritapuri</t>
  </si>
  <si>
    <t>An-Najah National University</t>
  </si>
  <si>
    <t>Palestinian Territory, Occupied</t>
  </si>
  <si>
    <t>Nablus</t>
  </si>
  <si>
    <t>Arab Academy for Science, Technology and Maritime Transport</t>
  </si>
  <si>
    <t>Baku State University</t>
  </si>
  <si>
    <t>Azerbaijan</t>
  </si>
  <si>
    <t>Baku</t>
  </si>
  <si>
    <t>Banaras Hindu University</t>
  </si>
  <si>
    <t>Varanasi</t>
  </si>
  <si>
    <t>Baylor University</t>
  </si>
  <si>
    <t>Waco</t>
  </si>
  <si>
    <t>BRAC University</t>
  </si>
  <si>
    <t>Canterbury Christ Church University</t>
  </si>
  <si>
    <t>Bexleyheath</t>
  </si>
  <si>
    <t>Chung Yuan Christian University</t>
  </si>
  <si>
    <t>Chungbuk National University</t>
  </si>
  <si>
    <t>Cheongju</t>
  </si>
  <si>
    <t>Doshisha University</t>
  </si>
  <si>
    <t>Escuela Politécnica Nacional</t>
  </si>
  <si>
    <t>Ecuador</t>
  </si>
  <si>
    <t>Ferdowsi University of Mashhad</t>
  </si>
  <si>
    <t>Iran (Islamic Republic of)</t>
  </si>
  <si>
    <t>Financial University under the Government of the Russian Federation</t>
  </si>
  <si>
    <t>German Jordanian University</t>
  </si>
  <si>
    <t>Jordan</t>
  </si>
  <si>
    <t>Glasgow Caledonian University</t>
  </si>
  <si>
    <t>Harbin Engineering University</t>
  </si>
  <si>
    <t>Howard University</t>
  </si>
  <si>
    <t>71:29:00</t>
  </si>
  <si>
    <t>Hungarian University of Agriculture and Life Sciences</t>
  </si>
  <si>
    <t>Jiangnan University</t>
  </si>
  <si>
    <t>Kagoshima University</t>
  </si>
  <si>
    <t>Kagoshima City</t>
  </si>
  <si>
    <t>Kazan National Research Technological University</t>
  </si>
  <si>
    <t>Kazan</t>
  </si>
  <si>
    <t>Kyoto Institute of Technology</t>
  </si>
  <si>
    <t>Leeds Beckett University</t>
  </si>
  <si>
    <t>Lodz University of Technology</t>
  </si>
  <si>
    <t>Lodz</t>
  </si>
  <si>
    <t>Mansoura University</t>
  </si>
  <si>
    <t xml:space="preserve">Mansoura </t>
  </si>
  <si>
    <t>Meiji University</t>
  </si>
  <si>
    <t>Mississippi State University</t>
  </si>
  <si>
    <t>Starkville</t>
  </si>
  <si>
    <t>Mustansiriyah University</t>
  </si>
  <si>
    <t>Mutah University</t>
  </si>
  <si>
    <t>Mu'tah</t>
  </si>
  <si>
    <t>Nanjing Normal University</t>
  </si>
  <si>
    <t>Novosibirsk State Technical University</t>
  </si>
  <si>
    <t>Novosibirsk</t>
  </si>
  <si>
    <t>Panjab University</t>
  </si>
  <si>
    <t>Chandigarh</t>
  </si>
  <si>
    <t>Russian Presidential Academy of National Economy and Public Administration</t>
  </si>
  <si>
    <t>Saint-Petersburg Mining University</t>
  </si>
  <si>
    <t>San Diego State University</t>
  </si>
  <si>
    <t xml:space="preserve">San Diego </t>
  </si>
  <si>
    <t>Sheffield Hallam University</t>
  </si>
  <si>
    <t>Silesian University of Technology</t>
  </si>
  <si>
    <t>Gliwice</t>
  </si>
  <si>
    <t>Slovak University of Technology in Bratislava</t>
  </si>
  <si>
    <t>Bratislava</t>
  </si>
  <si>
    <t>Soonchunhyang University</t>
  </si>
  <si>
    <t>Széchenyi István University</t>
  </si>
  <si>
    <t>Győr</t>
  </si>
  <si>
    <t>Taibah University</t>
  </si>
  <si>
    <t>Medina</t>
  </si>
  <si>
    <t>Technical University of Liberec</t>
  </si>
  <si>
    <t>Liberec</t>
  </si>
  <si>
    <t>Telkom University</t>
  </si>
  <si>
    <t>Tokai University</t>
  </si>
  <si>
    <t>Hiratsuka City</t>
  </si>
  <si>
    <t>Tokushima University</t>
  </si>
  <si>
    <t>Tokushima City</t>
  </si>
  <si>
    <t>Universidad del Valle</t>
  </si>
  <si>
    <t>Colombia</t>
  </si>
  <si>
    <t>Cali</t>
  </si>
  <si>
    <t>Universitas Sebelas Maret</t>
  </si>
  <si>
    <t>Surakarta</t>
  </si>
  <si>
    <t>Université de Poitiers</t>
  </si>
  <si>
    <t>Poitiers</t>
  </si>
  <si>
    <t>Universiti Malaysia Perlis</t>
  </si>
  <si>
    <t>Kangar</t>
  </si>
  <si>
    <t>Universiti Malaysia Sabah</t>
  </si>
  <si>
    <t>Kota Kinabalu</t>
  </si>
  <si>
    <t>Universiti Malaysia Sarawak</t>
  </si>
  <si>
    <t>Kuching</t>
  </si>
  <si>
    <t>Universiti Malaysia Terengganu</t>
  </si>
  <si>
    <t>Kuala Terengganu</t>
  </si>
  <si>
    <t>University of Colombo</t>
  </si>
  <si>
    <t>Sri Lanka</t>
  </si>
  <si>
    <t>Colombo,</t>
  </si>
  <si>
    <t>University of Derby</t>
  </si>
  <si>
    <t>Derby</t>
  </si>
  <si>
    <t>University of Deusto</t>
  </si>
  <si>
    <t>University of Karachi</t>
  </si>
  <si>
    <t>Karachi</t>
  </si>
  <si>
    <t>University of Nairobi</t>
  </si>
  <si>
    <t>Kenya</t>
  </si>
  <si>
    <t>Nairobi</t>
  </si>
  <si>
    <t>University of North Carolina at Charlotte</t>
  </si>
  <si>
    <t>Charlotte</t>
  </si>
  <si>
    <t>University of Novi Sad</t>
  </si>
  <si>
    <t>Novi Sad</t>
  </si>
  <si>
    <t>University of Pardubice</t>
  </si>
  <si>
    <t>Pardubice</t>
  </si>
  <si>
    <t>University of Primorska</t>
  </si>
  <si>
    <t>Koper</t>
  </si>
  <si>
    <t>University of Regina</t>
  </si>
  <si>
    <t>University of the Free State</t>
  </si>
  <si>
    <t>Bloemfontein</t>
  </si>
  <si>
    <t>University of Toledo</t>
  </si>
  <si>
    <t>University of Wolverhampton</t>
  </si>
  <si>
    <t>Telford</t>
  </si>
  <si>
    <t>University of Wyoming</t>
  </si>
  <si>
    <t>Laramie</t>
  </si>
  <si>
    <t>University of Žilina</t>
  </si>
  <si>
    <t>Zilina</t>
  </si>
  <si>
    <t>VSB - Technical University of Ostrava</t>
  </si>
  <si>
    <t>Ostrava</t>
  </si>
  <si>
    <t>Western Michigan University</t>
  </si>
  <si>
    <t>Kalamazoo</t>
  </si>
  <si>
    <t>Yarmouk University</t>
  </si>
  <si>
    <t>Irbid</t>
  </si>
  <si>
    <t>Yerevan State University</t>
  </si>
  <si>
    <t>Armenia</t>
  </si>
  <si>
    <t>Lucian Blaga University of Sibiu</t>
  </si>
  <si>
    <t>1201-1400</t>
  </si>
  <si>
    <t>Sibiu</t>
  </si>
  <si>
    <t>Al-Azhar University</t>
  </si>
  <si>
    <t>Cairo</t>
  </si>
  <si>
    <t>Alexandru Ioan Cuza University</t>
  </si>
  <si>
    <t>Iași</t>
  </si>
  <si>
    <t>Anadolu University</t>
  </si>
  <si>
    <t>Eskisehir</t>
  </si>
  <si>
    <t>Aoyama Gakuin University</t>
  </si>
  <si>
    <t>Benemérita Universidad Autónoma de Puebla</t>
  </si>
  <si>
    <t>Puebla</t>
  </si>
  <si>
    <t>Central Michigan University</t>
  </si>
  <si>
    <t>Chaoyang University of Technology</t>
  </si>
  <si>
    <t>Feng Chia University</t>
  </si>
  <si>
    <t>Fu Jen Catholic University</t>
  </si>
  <si>
    <t>New Taipei City</t>
  </si>
  <si>
    <t>German University in Cairo</t>
  </si>
  <si>
    <t>Hanoi University of Science and Technology</t>
  </si>
  <si>
    <t>Hanoi</t>
  </si>
  <si>
    <t>Ivan Franko National University of Lviv</t>
  </si>
  <si>
    <t>Lviv</t>
  </si>
  <si>
    <t>Jahangirnagar University</t>
  </si>
  <si>
    <t>King Mongkut's University of Technology North Bangkok</t>
  </si>
  <si>
    <t>Kwansei Gakuin University</t>
  </si>
  <si>
    <t>Marmara University</t>
  </si>
  <si>
    <t>Marquette University</t>
  </si>
  <si>
    <t>Milwaukee</t>
  </si>
  <si>
    <t>Mendeleev University of Chemical Technology</t>
  </si>
  <si>
    <t>Naresuan University</t>
  </si>
  <si>
    <t>National Dong Hwa University</t>
  </si>
  <si>
    <t>Hualien City</t>
  </si>
  <si>
    <t>National Taipei University</t>
  </si>
  <si>
    <t>New Taipei</t>
  </si>
  <si>
    <t>National Taiwan Ocean University</t>
  </si>
  <si>
    <t>Keelung City</t>
  </si>
  <si>
    <t>National University of Life and Environmental Sciences of Ukraine</t>
  </si>
  <si>
    <t>Nova Southeastern University</t>
  </si>
  <si>
    <t>Óbuda University</t>
  </si>
  <si>
    <t>Pondicherry University</t>
  </si>
  <si>
    <t>Puducherry</t>
  </si>
  <si>
    <t>Portland State University</t>
  </si>
  <si>
    <t>Portland</t>
  </si>
  <si>
    <t>Rikkyo University</t>
  </si>
  <si>
    <t>Saitama University</t>
  </si>
  <si>
    <t>Saitama City</t>
  </si>
  <si>
    <t>Shibaura Institute of Technology</t>
  </si>
  <si>
    <t>Koto City</t>
  </si>
  <si>
    <t>Silpakorn University</t>
  </si>
  <si>
    <t>Soongsil University</t>
  </si>
  <si>
    <t>Suez Canal University</t>
  </si>
  <si>
    <t>Suez</t>
  </si>
  <si>
    <t>Tamkang University</t>
  </si>
  <si>
    <t>Technical University of Cluj-Napoca</t>
  </si>
  <si>
    <t>Cluj-Napoca</t>
  </si>
  <si>
    <t>The Hashemite University</t>
  </si>
  <si>
    <t>Zarqa</t>
  </si>
  <si>
    <t>Tunghai University</t>
  </si>
  <si>
    <t>Universidad de Cartagena</t>
  </si>
  <si>
    <t>Universidad Nacional del Litoral</t>
  </si>
  <si>
    <t>Argentina</t>
  </si>
  <si>
    <t>Santa Fe</t>
  </si>
  <si>
    <t>Universidade do Estado do Rio de Janeiro</t>
  </si>
  <si>
    <t>Brazil</t>
  </si>
  <si>
    <t>Rio de Janeiro</t>
  </si>
  <si>
    <t>Universidade Federal da Bahia</t>
  </si>
  <si>
    <t>Salvador</t>
  </si>
  <si>
    <t>Universidade Federal do Ceará</t>
  </si>
  <si>
    <t>Fortaleza</t>
  </si>
  <si>
    <t>Universitas Pendidikan Indonesia</t>
  </si>
  <si>
    <t>Universitas Sumatera Utara</t>
  </si>
  <si>
    <t>Medan</t>
  </si>
  <si>
    <t>Universiti Teknikal Malaysia Melaka</t>
  </si>
  <si>
    <t>Malacca</t>
  </si>
  <si>
    <t>University of Babylon</t>
  </si>
  <si>
    <t>Hillah</t>
  </si>
  <si>
    <t>University of Basrah</t>
  </si>
  <si>
    <t>Basrah</t>
  </si>
  <si>
    <t>University of Iceland</t>
  </si>
  <si>
    <t>Iceland</t>
  </si>
  <si>
    <t>University of Kufa</t>
  </si>
  <si>
    <t>Kufa</t>
  </si>
  <si>
    <t>University of Memphis</t>
  </si>
  <si>
    <t>University of Ostrava</t>
  </si>
  <si>
    <t>University of Pannonia</t>
  </si>
  <si>
    <t>University of Rijeka</t>
  </si>
  <si>
    <t>University of Silesia in Katowice</t>
  </si>
  <si>
    <t>Katowice</t>
  </si>
  <si>
    <t>University of Split</t>
  </si>
  <si>
    <t>Split</t>
  </si>
  <si>
    <t>University of Warmia and Mazury in Olsztyn</t>
  </si>
  <si>
    <t>Olsztyn</t>
  </si>
  <si>
    <t>Voronezh State University</t>
  </si>
  <si>
    <t xml:space="preserve">Voronezh </t>
  </si>
  <si>
    <t>Yogyakarta State University</t>
  </si>
  <si>
    <t>Yuan Ze University</t>
  </si>
  <si>
    <t>Zagazig University</t>
  </si>
  <si>
    <t>Zagazig</t>
  </si>
  <si>
    <t>Al-Balqa Applied University</t>
  </si>
  <si>
    <t>1401+</t>
  </si>
  <si>
    <t>As-Salt</t>
  </si>
  <si>
    <t>Cukurova University</t>
  </si>
  <si>
    <t>Adana</t>
  </si>
  <si>
    <t>Georgian Technical University</t>
  </si>
  <si>
    <t>Tbilisi</t>
  </si>
  <si>
    <t>0.110416667</t>
  </si>
  <si>
    <t>Irkutsk State University</t>
  </si>
  <si>
    <t>Irkutsk</t>
  </si>
  <si>
    <t>Khulna University</t>
  </si>
  <si>
    <t>Khulna</t>
  </si>
  <si>
    <t>Kwame Nkrumah University of Science and Technology</t>
  </si>
  <si>
    <t>Kumasi</t>
  </si>
  <si>
    <t>MIREA - Russian Technological University</t>
  </si>
  <si>
    <t>Pontifícia Universidade Católica do Paraná</t>
  </si>
  <si>
    <t>Curitiba</t>
  </si>
  <si>
    <t>Sakarya University</t>
  </si>
  <si>
    <t>Adapazari</t>
  </si>
  <si>
    <t>Shahjalal University of Science and Technology</t>
  </si>
  <si>
    <t>Sylhet</t>
  </si>
  <si>
    <t>State University of Malang</t>
  </si>
  <si>
    <t>Technical University of Crete</t>
  </si>
  <si>
    <t>Chania</t>
  </si>
  <si>
    <t>Universidad Autónoma de Chile</t>
  </si>
  <si>
    <t>Chile</t>
  </si>
  <si>
    <t>Universidade do Estado de Santa Catarina</t>
  </si>
  <si>
    <t>Universitas Andalas</t>
  </si>
  <si>
    <t>Padang</t>
  </si>
  <si>
    <t>University of Craiova</t>
  </si>
  <si>
    <t>University of Ibadan</t>
  </si>
  <si>
    <t>Nigeria</t>
  </si>
  <si>
    <t>Ibadan</t>
  </si>
  <si>
    <t>University of Kragujevac</t>
  </si>
  <si>
    <t>Kragujevac</t>
  </si>
  <si>
    <t>University of Lagos</t>
  </si>
  <si>
    <t>Lagos</t>
  </si>
  <si>
    <t>University of Lampung</t>
  </si>
  <si>
    <t>University of Oradea</t>
  </si>
  <si>
    <t>University of Stavanger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</si>
</sst>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69"/>
  <sheetViews>
    <sheetView tabSelected="1" workbookViewId="0">
      <selection activeCell="K6" sqref="K6"/>
    </sheetView>
  </sheetViews>
  <sheetFormatPr defaultRowHeight="14.4" x14ac:dyDescent="0.3"/>
  <cols>
    <col min="1" max="1" width="11.77734375" bestFit="1" customWidth="1"/>
    <col min="2" max="2" width="45.44140625" customWidth="1"/>
    <col min="3" max="3" width="8.109375" customWidth="1"/>
    <col min="4" max="4" width="10.5546875" bestFit="1" customWidth="1"/>
    <col min="5" max="5" width="12.6640625" bestFit="1" customWidth="1"/>
    <col min="6" max="6" width="12.109375" bestFit="1" customWidth="1"/>
    <col min="7" max="7" width="16.5546875" customWidth="1"/>
    <col min="8" max="8" width="17.44140625" customWidth="1"/>
    <col min="9" max="9" width="17" customWidth="1"/>
    <col min="10" max="10" width="14.109375" bestFit="1" customWidth="1"/>
    <col min="11" max="12" width="24.6640625" bestFit="1" customWidth="1"/>
    <col min="13" max="13" width="13.6640625" bestFit="1" customWidth="1"/>
    <col min="14" max="14" width="17.33203125" bestFit="1" customWidth="1"/>
    <col min="15" max="15" width="14.109375" bestFit="1" customWidth="1"/>
    <col min="16" max="16" width="18.88671875" bestFit="1" customWidth="1"/>
    <col min="17" max="17" width="7.6640625" bestFit="1" customWidth="1"/>
    <col min="18" max="18" width="20.5546875" bestFit="1" customWidth="1"/>
    <col min="19" max="19" width="25.21875" bestFit="1" customWidth="1"/>
    <col min="20" max="20" width="30" customWidth="1"/>
    <col min="21" max="21" width="13.21875" bestFit="1" customWidth="1"/>
    <col min="22" max="22" width="26.33203125" bestFit="1" customWidth="1"/>
    <col min="23" max="23" width="24.44140625" bestFit="1" customWidth="1"/>
    <col min="24" max="24" width="12.6640625" bestFit="1" customWidth="1"/>
    <col min="25" max="25" width="22.21875" bestFit="1" customWidth="1"/>
    <col min="26" max="26" width="11.77734375" bestFit="1" customWidth="1"/>
    <col min="27" max="27" width="17.44140625" bestFit="1" customWidth="1"/>
    <col min="28" max="28" width="15.6640625" bestFit="1" customWidth="1"/>
    <col min="29" max="29" width="13.21875" customWidth="1"/>
    <col min="30" max="30" width="19.6640625" bestFit="1" customWidth="1"/>
    <col min="31" max="31" width="18.33203125" bestFit="1" customWidth="1"/>
    <col min="32" max="32" width="16.44140625" bestFit="1" customWidth="1"/>
    <col min="33" max="33" width="23.5546875" bestFit="1" customWidth="1"/>
    <col min="34" max="34" width="18.77734375" bestFit="1" customWidth="1"/>
    <col min="35" max="35" width="24" bestFit="1" customWidth="1"/>
    <col min="36" max="36" width="31" bestFit="1" customWidth="1"/>
    <col min="37" max="37" width="19.88671875" bestFit="1" customWidth="1"/>
    <col min="38" max="38" width="28.6640625" bestFit="1" customWidth="1"/>
    <col min="39" max="39" width="18.6640625" bestFit="1" customWidth="1"/>
    <col min="40" max="40" width="19.109375" bestFit="1" customWidth="1"/>
    <col min="41" max="41" width="20.5546875" bestFit="1" customWidth="1"/>
    <col min="42" max="42" width="20.77734375" bestFit="1" customWidth="1"/>
    <col min="43" max="43" width="33.88671875" bestFit="1" customWidth="1"/>
    <col min="44" max="44" width="20.21875" bestFit="1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>
        <v>1</v>
      </c>
      <c r="B2" t="s">
        <v>44</v>
      </c>
      <c r="C2">
        <v>2024</v>
      </c>
      <c r="D2" t="s">
        <v>45</v>
      </c>
      <c r="E2">
        <v>1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>
        <v>100</v>
      </c>
      <c r="L2">
        <v>100</v>
      </c>
      <c r="M2">
        <v>92.3</v>
      </c>
      <c r="N2">
        <v>8802</v>
      </c>
      <c r="O2">
        <v>19</v>
      </c>
      <c r="P2">
        <v>92.3</v>
      </c>
      <c r="Q2">
        <v>289</v>
      </c>
      <c r="R2">
        <v>12</v>
      </c>
      <c r="S2">
        <v>3.2758620689655E-3</v>
      </c>
      <c r="T2" t="s">
        <v>51</v>
      </c>
      <c r="U2">
        <v>20565</v>
      </c>
      <c r="V2">
        <v>38</v>
      </c>
      <c r="W2">
        <v>38</v>
      </c>
      <c r="X2">
        <v>5800</v>
      </c>
      <c r="Y2">
        <v>11.5</v>
      </c>
      <c r="Z2" t="s">
        <v>52</v>
      </c>
      <c r="AA2">
        <v>50</v>
      </c>
      <c r="AB2">
        <v>50</v>
      </c>
      <c r="AC2" t="s">
        <v>53</v>
      </c>
      <c r="AD2">
        <v>12940</v>
      </c>
      <c r="AE2">
        <v>8040</v>
      </c>
      <c r="AF2">
        <v>614.48</v>
      </c>
      <c r="AG2">
        <v>69</v>
      </c>
      <c r="AH2">
        <v>1</v>
      </c>
      <c r="AI2">
        <v>50.817340579710141</v>
      </c>
      <c r="AJ2">
        <v>35.82</v>
      </c>
      <c r="AK2">
        <v>38.92</v>
      </c>
      <c r="AL2">
        <v>35.29</v>
      </c>
      <c r="AM2">
        <v>2</v>
      </c>
      <c r="AN2">
        <v>100</v>
      </c>
      <c r="AO2">
        <v>60.18</v>
      </c>
      <c r="AP2">
        <v>11.5</v>
      </c>
      <c r="AQ2">
        <v>38</v>
      </c>
      <c r="AR2">
        <v>99.2</v>
      </c>
    </row>
    <row r="3" spans="1:44" x14ac:dyDescent="0.3">
      <c r="A3">
        <v>2</v>
      </c>
      <c r="B3" t="s">
        <v>54</v>
      </c>
      <c r="C3">
        <v>2024</v>
      </c>
      <c r="D3" t="s">
        <v>55</v>
      </c>
      <c r="E3">
        <v>2</v>
      </c>
      <c r="F3" t="s">
        <v>56</v>
      </c>
      <c r="G3" t="s">
        <v>47</v>
      </c>
      <c r="H3" t="s">
        <v>48</v>
      </c>
      <c r="I3" t="s">
        <v>57</v>
      </c>
      <c r="J3" t="s">
        <v>50</v>
      </c>
      <c r="K3">
        <v>100</v>
      </c>
      <c r="L3">
        <v>100</v>
      </c>
      <c r="M3">
        <v>90.6</v>
      </c>
      <c r="N3">
        <v>6193</v>
      </c>
      <c r="O3">
        <v>4</v>
      </c>
      <c r="P3">
        <v>90.6</v>
      </c>
      <c r="Q3">
        <v>332</v>
      </c>
      <c r="R3">
        <v>9</v>
      </c>
      <c r="S3">
        <v>5.9630292188429996E-4</v>
      </c>
      <c r="T3" t="s">
        <v>58</v>
      </c>
      <c r="U3">
        <v>21750</v>
      </c>
      <c r="V3">
        <v>42</v>
      </c>
      <c r="W3">
        <v>43</v>
      </c>
      <c r="X3">
        <v>6708</v>
      </c>
      <c r="Y3">
        <v>10.9</v>
      </c>
      <c r="Z3" t="s">
        <v>59</v>
      </c>
      <c r="AA3">
        <v>52</v>
      </c>
      <c r="AB3">
        <v>48</v>
      </c>
      <c r="AC3" t="s">
        <v>53</v>
      </c>
      <c r="AD3">
        <v>12510</v>
      </c>
      <c r="AE3">
        <v>9585</v>
      </c>
      <c r="AF3">
        <v>614.48</v>
      </c>
      <c r="AG3">
        <v>69</v>
      </c>
      <c r="AH3">
        <v>1</v>
      </c>
      <c r="AI3">
        <v>50.817340579710141</v>
      </c>
      <c r="AJ3">
        <v>35.82</v>
      </c>
      <c r="AK3">
        <v>38.92</v>
      </c>
      <c r="AL3">
        <v>35.29</v>
      </c>
      <c r="AM3">
        <v>3</v>
      </c>
      <c r="AN3">
        <v>99.93</v>
      </c>
      <c r="AO3">
        <v>57.96</v>
      </c>
      <c r="AP3">
        <v>10.9</v>
      </c>
      <c r="AQ3">
        <v>42</v>
      </c>
      <c r="AR3">
        <v>98.9</v>
      </c>
    </row>
    <row r="4" spans="1:44" x14ac:dyDescent="0.3">
      <c r="A4">
        <v>3</v>
      </c>
      <c r="B4" t="s">
        <v>60</v>
      </c>
      <c r="C4">
        <v>2024</v>
      </c>
      <c r="D4" t="s">
        <v>61</v>
      </c>
      <c r="E4">
        <v>1</v>
      </c>
      <c r="F4" t="s">
        <v>62</v>
      </c>
      <c r="G4" t="s">
        <v>63</v>
      </c>
      <c r="H4" t="s">
        <v>64</v>
      </c>
      <c r="I4" t="s">
        <v>49</v>
      </c>
      <c r="J4" t="s">
        <v>65</v>
      </c>
      <c r="K4">
        <v>100</v>
      </c>
      <c r="L4">
        <v>100</v>
      </c>
      <c r="M4">
        <v>100</v>
      </c>
      <c r="N4">
        <v>10692</v>
      </c>
      <c r="O4">
        <v>1</v>
      </c>
      <c r="P4">
        <v>100</v>
      </c>
      <c r="Q4">
        <v>348</v>
      </c>
      <c r="R4">
        <v>1</v>
      </c>
      <c r="S4">
        <v>2.1523891519580001E-4</v>
      </c>
      <c r="T4" t="s">
        <v>58</v>
      </c>
      <c r="U4">
        <v>20050</v>
      </c>
      <c r="V4">
        <v>25</v>
      </c>
      <c r="W4">
        <v>25</v>
      </c>
      <c r="X4">
        <v>4646</v>
      </c>
      <c r="Y4">
        <v>9</v>
      </c>
      <c r="Z4" t="s">
        <v>66</v>
      </c>
      <c r="AA4">
        <v>53</v>
      </c>
      <c r="AB4">
        <v>47</v>
      </c>
      <c r="AC4" t="s">
        <v>53</v>
      </c>
      <c r="AD4">
        <v>7153</v>
      </c>
      <c r="AE4">
        <v>15431</v>
      </c>
      <c r="AF4">
        <v>647.61</v>
      </c>
      <c r="AG4">
        <v>98</v>
      </c>
      <c r="AH4">
        <v>2</v>
      </c>
      <c r="AI4">
        <v>56.843244897959181</v>
      </c>
      <c r="AJ4">
        <v>29.74</v>
      </c>
      <c r="AK4">
        <v>38.11</v>
      </c>
      <c r="AL4">
        <v>19.260000000000002</v>
      </c>
      <c r="AM4">
        <v>4</v>
      </c>
      <c r="AN4">
        <v>99.86</v>
      </c>
      <c r="AO4">
        <v>60.4</v>
      </c>
      <c r="AP4">
        <v>9</v>
      </c>
      <c r="AQ4">
        <v>25</v>
      </c>
      <c r="AR4">
        <v>98.3</v>
      </c>
    </row>
    <row r="5" spans="1:44" x14ac:dyDescent="0.3">
      <c r="A5">
        <v>4</v>
      </c>
      <c r="B5" t="s">
        <v>67</v>
      </c>
      <c r="C5">
        <v>2024</v>
      </c>
      <c r="D5" t="s">
        <v>68</v>
      </c>
      <c r="E5">
        <v>2</v>
      </c>
      <c r="F5" t="s">
        <v>69</v>
      </c>
      <c r="G5" t="s">
        <v>63</v>
      </c>
      <c r="H5" t="s">
        <v>64</v>
      </c>
      <c r="I5" t="s">
        <v>70</v>
      </c>
      <c r="J5" t="s">
        <v>65</v>
      </c>
      <c r="K5">
        <v>100</v>
      </c>
      <c r="L5">
        <v>100</v>
      </c>
      <c r="M5">
        <v>99.9</v>
      </c>
      <c r="N5">
        <v>5796</v>
      </c>
      <c r="O5">
        <v>2</v>
      </c>
      <c r="P5">
        <v>99.9</v>
      </c>
      <c r="Q5">
        <v>271</v>
      </c>
      <c r="R5">
        <v>10</v>
      </c>
      <c r="S5">
        <v>4.2328042328039999E-4</v>
      </c>
      <c r="T5" t="s">
        <v>71</v>
      </c>
      <c r="U5">
        <v>14517</v>
      </c>
      <c r="V5">
        <v>23</v>
      </c>
      <c r="W5">
        <v>23</v>
      </c>
      <c r="X5">
        <v>4725</v>
      </c>
      <c r="Y5">
        <v>6.4</v>
      </c>
      <c r="Z5" t="s">
        <v>72</v>
      </c>
      <c r="AA5">
        <v>48</v>
      </c>
      <c r="AB5">
        <v>52</v>
      </c>
      <c r="AC5" t="s">
        <v>53</v>
      </c>
      <c r="AD5">
        <v>7087</v>
      </c>
      <c r="AE5">
        <v>9876</v>
      </c>
      <c r="AF5">
        <v>647.61</v>
      </c>
      <c r="AG5">
        <v>98</v>
      </c>
      <c r="AH5">
        <v>2</v>
      </c>
      <c r="AI5">
        <v>56.843244897959181</v>
      </c>
      <c r="AJ5">
        <v>29.74</v>
      </c>
      <c r="AK5">
        <v>38.11</v>
      </c>
      <c r="AL5">
        <v>19.260000000000002</v>
      </c>
      <c r="AM5">
        <v>5</v>
      </c>
      <c r="AN5">
        <v>99.79</v>
      </c>
      <c r="AO5">
        <v>63.94</v>
      </c>
      <c r="AP5">
        <v>6.4</v>
      </c>
      <c r="AQ5">
        <v>23</v>
      </c>
      <c r="AR5">
        <v>98.1</v>
      </c>
    </row>
    <row r="6" spans="1:44" x14ac:dyDescent="0.3">
      <c r="A6">
        <v>5</v>
      </c>
      <c r="B6" t="s">
        <v>73</v>
      </c>
      <c r="C6">
        <v>2024</v>
      </c>
      <c r="D6" t="s">
        <v>74</v>
      </c>
      <c r="E6">
        <v>4</v>
      </c>
      <c r="F6" t="s">
        <v>75</v>
      </c>
      <c r="G6" t="s">
        <v>47</v>
      </c>
      <c r="H6" t="s">
        <v>48</v>
      </c>
      <c r="I6" t="s">
        <v>76</v>
      </c>
      <c r="J6" t="s">
        <v>50</v>
      </c>
      <c r="K6">
        <v>98.3</v>
      </c>
      <c r="L6">
        <v>99.4</v>
      </c>
      <c r="M6">
        <v>94</v>
      </c>
      <c r="N6">
        <v>6585</v>
      </c>
      <c r="O6">
        <v>29</v>
      </c>
      <c r="P6">
        <v>94</v>
      </c>
      <c r="Q6">
        <v>368</v>
      </c>
      <c r="R6">
        <v>21</v>
      </c>
      <c r="S6">
        <v>3.6250000000000002E-3</v>
      </c>
      <c r="T6" t="s">
        <v>77</v>
      </c>
      <c r="U6">
        <v>20275</v>
      </c>
      <c r="V6">
        <v>61</v>
      </c>
      <c r="W6">
        <v>60</v>
      </c>
      <c r="X6">
        <v>8000</v>
      </c>
      <c r="Y6">
        <v>11.8</v>
      </c>
      <c r="Z6" t="s">
        <v>78</v>
      </c>
      <c r="AA6">
        <v>43</v>
      </c>
      <c r="AB6">
        <v>57</v>
      </c>
      <c r="AC6" t="s">
        <v>53</v>
      </c>
      <c r="AD6">
        <v>11000</v>
      </c>
      <c r="AE6">
        <v>10000</v>
      </c>
      <c r="AF6">
        <v>614.48</v>
      </c>
      <c r="AG6">
        <v>69</v>
      </c>
      <c r="AH6">
        <v>1</v>
      </c>
      <c r="AI6">
        <v>50.817340579710141</v>
      </c>
      <c r="AJ6">
        <v>35.82</v>
      </c>
      <c r="AK6">
        <v>38.92</v>
      </c>
      <c r="AL6">
        <v>35.29</v>
      </c>
      <c r="AM6">
        <v>6</v>
      </c>
      <c r="AN6">
        <v>99.71</v>
      </c>
      <c r="AO6">
        <v>64.8</v>
      </c>
      <c r="AP6">
        <v>11.8</v>
      </c>
      <c r="AQ6">
        <v>61</v>
      </c>
      <c r="AR6">
        <v>97.8</v>
      </c>
    </row>
    <row r="7" spans="1:44" x14ac:dyDescent="0.3">
      <c r="A7">
        <v>6</v>
      </c>
      <c r="B7" t="s">
        <v>79</v>
      </c>
      <c r="C7">
        <v>2024</v>
      </c>
      <c r="D7" t="s">
        <v>80</v>
      </c>
      <c r="E7">
        <v>4</v>
      </c>
      <c r="F7" t="s">
        <v>81</v>
      </c>
      <c r="G7" t="s">
        <v>47</v>
      </c>
      <c r="H7" t="s">
        <v>48</v>
      </c>
      <c r="I7" t="s">
        <v>76</v>
      </c>
      <c r="J7" t="s">
        <v>50</v>
      </c>
      <c r="K7">
        <v>99.5</v>
      </c>
      <c r="L7">
        <v>97.9</v>
      </c>
      <c r="M7">
        <v>74.3</v>
      </c>
      <c r="N7">
        <v>49052</v>
      </c>
      <c r="O7">
        <v>479719</v>
      </c>
      <c r="P7">
        <v>74.3</v>
      </c>
      <c r="Q7">
        <v>610</v>
      </c>
      <c r="R7">
        <v>90.4</v>
      </c>
      <c r="S7">
        <v>6.27</v>
      </c>
      <c r="T7" t="s">
        <v>51</v>
      </c>
      <c r="U7">
        <v>41110</v>
      </c>
      <c r="V7">
        <v>61</v>
      </c>
      <c r="W7">
        <v>53</v>
      </c>
      <c r="X7">
        <v>7195</v>
      </c>
      <c r="Y7">
        <v>11.3</v>
      </c>
      <c r="Z7" t="s">
        <v>82</v>
      </c>
      <c r="AA7">
        <v>60</v>
      </c>
      <c r="AB7">
        <v>40</v>
      </c>
      <c r="AC7" t="s">
        <v>53</v>
      </c>
      <c r="AD7">
        <v>21000</v>
      </c>
      <c r="AE7">
        <v>25830</v>
      </c>
      <c r="AF7">
        <v>614.48</v>
      </c>
      <c r="AG7">
        <v>69</v>
      </c>
      <c r="AH7">
        <v>1</v>
      </c>
      <c r="AI7">
        <v>50.817340579710141</v>
      </c>
      <c r="AJ7">
        <v>35.82</v>
      </c>
      <c r="AK7">
        <v>38.92</v>
      </c>
      <c r="AL7">
        <v>35.29</v>
      </c>
      <c r="AM7">
        <v>9</v>
      </c>
      <c r="AN7">
        <v>99.5</v>
      </c>
      <c r="AO7">
        <v>80.739999999999995</v>
      </c>
      <c r="AP7">
        <v>11.3</v>
      </c>
      <c r="AQ7">
        <v>61</v>
      </c>
      <c r="AR7">
        <v>92.4</v>
      </c>
    </row>
    <row r="8" spans="1:44" x14ac:dyDescent="0.3">
      <c r="A8">
        <v>7</v>
      </c>
      <c r="B8" t="s">
        <v>83</v>
      </c>
      <c r="C8">
        <v>2024</v>
      </c>
      <c r="D8" t="s">
        <v>84</v>
      </c>
      <c r="E8">
        <v>10</v>
      </c>
      <c r="F8" t="s">
        <v>85</v>
      </c>
      <c r="G8" t="s">
        <v>63</v>
      </c>
      <c r="H8" t="s">
        <v>64</v>
      </c>
      <c r="I8" t="s">
        <v>86</v>
      </c>
      <c r="J8" t="s">
        <v>65</v>
      </c>
      <c r="K8">
        <v>96.4</v>
      </c>
      <c r="L8">
        <v>89.1</v>
      </c>
      <c r="M8">
        <v>68.400000000000006</v>
      </c>
      <c r="N8">
        <v>9258</v>
      </c>
      <c r="O8">
        <v>13</v>
      </c>
      <c r="P8">
        <v>68.400000000000006</v>
      </c>
      <c r="Q8">
        <v>274</v>
      </c>
      <c r="R8">
        <v>16</v>
      </c>
      <c r="S8">
        <v>2.522312766783E-3</v>
      </c>
      <c r="T8" t="s">
        <v>77</v>
      </c>
      <c r="U8">
        <v>21312</v>
      </c>
      <c r="V8">
        <v>22</v>
      </c>
      <c r="W8">
        <v>24</v>
      </c>
      <c r="X8">
        <v>5154</v>
      </c>
      <c r="Y8">
        <v>6.2</v>
      </c>
      <c r="Z8" t="s">
        <v>87</v>
      </c>
      <c r="AA8">
        <v>55</v>
      </c>
      <c r="AB8">
        <v>45</v>
      </c>
      <c r="AC8" t="s">
        <v>53</v>
      </c>
      <c r="AD8">
        <v>10500</v>
      </c>
      <c r="AE8">
        <v>12039</v>
      </c>
      <c r="AF8">
        <v>647.61</v>
      </c>
      <c r="AG8">
        <v>98</v>
      </c>
      <c r="AH8">
        <v>2</v>
      </c>
      <c r="AI8">
        <v>56.843244897959181</v>
      </c>
      <c r="AJ8">
        <v>29.74</v>
      </c>
      <c r="AK8">
        <v>38.11</v>
      </c>
      <c r="AL8">
        <v>19.260000000000002</v>
      </c>
      <c r="AM8">
        <v>12</v>
      </c>
      <c r="AN8">
        <v>99.29</v>
      </c>
      <c r="AO8">
        <v>47.44</v>
      </c>
      <c r="AP8">
        <v>6.2</v>
      </c>
      <c r="AQ8">
        <v>22</v>
      </c>
      <c r="AR8">
        <v>89.4</v>
      </c>
    </row>
    <row r="9" spans="1:44" x14ac:dyDescent="0.3">
      <c r="A9">
        <v>8</v>
      </c>
      <c r="B9" t="s">
        <v>88</v>
      </c>
      <c r="C9">
        <v>2024</v>
      </c>
      <c r="D9" t="s">
        <v>89</v>
      </c>
      <c r="E9">
        <v>11</v>
      </c>
      <c r="F9" t="s">
        <v>90</v>
      </c>
      <c r="G9" t="s">
        <v>63</v>
      </c>
      <c r="H9" t="s">
        <v>64</v>
      </c>
      <c r="I9" t="s">
        <v>91</v>
      </c>
      <c r="J9" t="s">
        <v>65</v>
      </c>
      <c r="K9">
        <v>98.1</v>
      </c>
      <c r="L9">
        <v>90.5</v>
      </c>
      <c r="M9">
        <v>99.1</v>
      </c>
      <c r="N9">
        <v>7973</v>
      </c>
      <c r="O9">
        <v>40</v>
      </c>
      <c r="P9">
        <v>99.1</v>
      </c>
      <c r="Q9">
        <v>222</v>
      </c>
      <c r="R9">
        <v>31</v>
      </c>
      <c r="S9">
        <v>1.40696447414702E-2</v>
      </c>
      <c r="T9" t="s">
        <v>71</v>
      </c>
      <c r="U9">
        <v>23620</v>
      </c>
      <c r="V9">
        <v>24</v>
      </c>
      <c r="W9">
        <v>24</v>
      </c>
      <c r="X9">
        <v>2843</v>
      </c>
      <c r="Y9">
        <v>10</v>
      </c>
      <c r="Z9" t="s">
        <v>66</v>
      </c>
      <c r="AA9">
        <v>53</v>
      </c>
      <c r="AB9">
        <v>47</v>
      </c>
      <c r="AC9" t="s">
        <v>53</v>
      </c>
      <c r="AD9">
        <v>15503</v>
      </c>
      <c r="AE9">
        <v>10395</v>
      </c>
      <c r="AF9">
        <v>647.61</v>
      </c>
      <c r="AG9">
        <v>98</v>
      </c>
      <c r="AH9">
        <v>2</v>
      </c>
      <c r="AI9">
        <v>56.843244897959181</v>
      </c>
      <c r="AJ9">
        <v>29.74</v>
      </c>
      <c r="AK9">
        <v>38.11</v>
      </c>
      <c r="AL9">
        <v>19.260000000000002</v>
      </c>
      <c r="AM9">
        <v>13</v>
      </c>
      <c r="AN9">
        <v>99.21</v>
      </c>
      <c r="AO9">
        <v>71.86</v>
      </c>
      <c r="AP9">
        <v>10</v>
      </c>
      <c r="AQ9">
        <v>24</v>
      </c>
      <c r="AR9">
        <v>89.3</v>
      </c>
    </row>
    <row r="10" spans="1:44" x14ac:dyDescent="0.3">
      <c r="A10">
        <v>9</v>
      </c>
      <c r="B10" t="s">
        <v>92</v>
      </c>
      <c r="C10">
        <v>2024</v>
      </c>
      <c r="D10" t="s">
        <v>93</v>
      </c>
      <c r="E10">
        <v>9</v>
      </c>
      <c r="F10" t="s">
        <v>94</v>
      </c>
      <c r="G10" t="s">
        <v>63</v>
      </c>
      <c r="H10" t="s">
        <v>64</v>
      </c>
      <c r="I10" t="s">
        <v>95</v>
      </c>
      <c r="J10" t="s">
        <v>65</v>
      </c>
      <c r="K10">
        <v>99.9</v>
      </c>
      <c r="L10">
        <v>99.9</v>
      </c>
      <c r="M10">
        <v>45.8</v>
      </c>
      <c r="N10">
        <v>8555</v>
      </c>
      <c r="O10">
        <v>31</v>
      </c>
      <c r="P10">
        <v>45.8</v>
      </c>
      <c r="Q10">
        <v>406</v>
      </c>
      <c r="R10">
        <v>37</v>
      </c>
      <c r="S10">
        <v>5.7503246150992001E-3</v>
      </c>
      <c r="T10" t="s">
        <v>96</v>
      </c>
      <c r="U10">
        <v>11924</v>
      </c>
      <c r="V10">
        <v>21</v>
      </c>
      <c r="W10">
        <v>22</v>
      </c>
      <c r="X10">
        <v>5391</v>
      </c>
      <c r="Y10">
        <v>5.2</v>
      </c>
      <c r="Z10" t="s">
        <v>66</v>
      </c>
      <c r="AA10">
        <v>53</v>
      </c>
      <c r="AB10">
        <v>47</v>
      </c>
      <c r="AC10" t="s">
        <v>53</v>
      </c>
      <c r="AD10">
        <v>6500</v>
      </c>
      <c r="AE10">
        <v>7901</v>
      </c>
      <c r="AF10">
        <v>647.61</v>
      </c>
      <c r="AG10">
        <v>98</v>
      </c>
      <c r="AH10">
        <v>2</v>
      </c>
      <c r="AI10">
        <v>56.843244897959181</v>
      </c>
      <c r="AJ10">
        <v>29.74</v>
      </c>
      <c r="AK10">
        <v>38.11</v>
      </c>
      <c r="AL10">
        <v>19.260000000000002</v>
      </c>
      <c r="AM10">
        <v>16</v>
      </c>
      <c r="AN10">
        <v>99</v>
      </c>
      <c r="AO10">
        <v>42.28</v>
      </c>
      <c r="AP10">
        <v>5.2</v>
      </c>
      <c r="AQ10">
        <v>21</v>
      </c>
      <c r="AR10">
        <v>87.7</v>
      </c>
    </row>
    <row r="11" spans="1:44" x14ac:dyDescent="0.3">
      <c r="A11">
        <v>10</v>
      </c>
      <c r="B11" t="s">
        <v>97</v>
      </c>
      <c r="C11">
        <v>2024</v>
      </c>
      <c r="D11">
        <f>17</f>
        <v>17</v>
      </c>
      <c r="E11">
        <v>1</v>
      </c>
      <c r="F11" t="s">
        <v>98</v>
      </c>
      <c r="G11" t="s">
        <v>99</v>
      </c>
      <c r="H11" t="s">
        <v>100</v>
      </c>
      <c r="I11" t="s">
        <v>101</v>
      </c>
      <c r="J11" t="s">
        <v>50</v>
      </c>
      <c r="K11">
        <v>99.4</v>
      </c>
      <c r="L11">
        <v>95.4</v>
      </c>
      <c r="M11">
        <v>97.5</v>
      </c>
      <c r="N11">
        <v>18348</v>
      </c>
      <c r="O11">
        <v>167</v>
      </c>
      <c r="P11">
        <v>97.5</v>
      </c>
      <c r="Q11">
        <v>356</v>
      </c>
      <c r="R11">
        <v>23</v>
      </c>
      <c r="S11">
        <v>3.1497548095058399E-2</v>
      </c>
      <c r="T11" t="s">
        <v>96</v>
      </c>
      <c r="U11">
        <v>33064</v>
      </c>
      <c r="V11">
        <v>14</v>
      </c>
      <c r="W11">
        <v>15</v>
      </c>
      <c r="X11">
        <v>5302</v>
      </c>
      <c r="Y11">
        <v>10.9</v>
      </c>
      <c r="Z11" t="s">
        <v>102</v>
      </c>
      <c r="AA11">
        <v>46.013769779999997</v>
      </c>
      <c r="AB11">
        <v>53.986230220000003</v>
      </c>
      <c r="AC11" t="s">
        <v>53</v>
      </c>
      <c r="AD11">
        <v>15000</v>
      </c>
      <c r="AE11">
        <v>19981</v>
      </c>
      <c r="AF11">
        <v>616.32000000000005</v>
      </c>
      <c r="AG11">
        <v>35</v>
      </c>
      <c r="AH11">
        <v>12</v>
      </c>
      <c r="AI11">
        <v>56.538228571428569</v>
      </c>
      <c r="AJ11">
        <v>21.88</v>
      </c>
      <c r="AK11">
        <v>70.61</v>
      </c>
      <c r="AL11">
        <v>14.17</v>
      </c>
      <c r="AM11">
        <v>17</v>
      </c>
      <c r="AN11">
        <v>98.93</v>
      </c>
      <c r="AO11">
        <v>67.7</v>
      </c>
      <c r="AP11">
        <v>10.9</v>
      </c>
      <c r="AQ11">
        <v>14</v>
      </c>
      <c r="AR11">
        <v>87</v>
      </c>
    </row>
    <row r="12" spans="1:44" x14ac:dyDescent="0.3">
      <c r="A12">
        <v>11</v>
      </c>
      <c r="B12" t="s">
        <v>103</v>
      </c>
      <c r="C12">
        <v>2024</v>
      </c>
      <c r="D12">
        <f>17</f>
        <v>17</v>
      </c>
      <c r="E12">
        <v>5</v>
      </c>
      <c r="F12" t="s">
        <v>98</v>
      </c>
      <c r="G12" t="s">
        <v>63</v>
      </c>
      <c r="H12" t="s">
        <v>64</v>
      </c>
      <c r="I12" t="s">
        <v>104</v>
      </c>
      <c r="J12" t="s">
        <v>65</v>
      </c>
      <c r="K12">
        <v>99.8</v>
      </c>
      <c r="L12">
        <v>97.5</v>
      </c>
      <c r="M12">
        <v>100</v>
      </c>
      <c r="N12">
        <v>1729</v>
      </c>
      <c r="O12">
        <v>27</v>
      </c>
      <c r="P12">
        <v>100</v>
      </c>
      <c r="Q12">
        <v>145</v>
      </c>
      <c r="R12">
        <v>146</v>
      </c>
      <c r="S12">
        <v>2.57142857142857E-2</v>
      </c>
      <c r="T12" t="s">
        <v>58</v>
      </c>
      <c r="U12">
        <v>7753</v>
      </c>
      <c r="V12">
        <v>23</v>
      </c>
      <c r="W12">
        <v>23</v>
      </c>
      <c r="X12">
        <v>1050</v>
      </c>
      <c r="Y12">
        <v>7.3</v>
      </c>
      <c r="Z12" t="s">
        <v>72</v>
      </c>
      <c r="AA12">
        <v>47</v>
      </c>
      <c r="AB12">
        <v>53</v>
      </c>
      <c r="AC12" t="s">
        <v>53</v>
      </c>
      <c r="AD12">
        <v>5321</v>
      </c>
      <c r="AE12">
        <v>3057</v>
      </c>
      <c r="AF12">
        <v>647.61</v>
      </c>
      <c r="AG12">
        <v>98</v>
      </c>
      <c r="AH12">
        <v>2</v>
      </c>
      <c r="AI12">
        <v>56.843244897959181</v>
      </c>
      <c r="AJ12">
        <v>29.74</v>
      </c>
      <c r="AK12">
        <v>38.11</v>
      </c>
      <c r="AL12">
        <v>19.260000000000002</v>
      </c>
      <c r="AM12">
        <v>17</v>
      </c>
      <c r="AN12">
        <v>98.93</v>
      </c>
      <c r="AO12">
        <v>118.4</v>
      </c>
      <c r="AP12">
        <v>7.3</v>
      </c>
      <c r="AQ12">
        <v>23</v>
      </c>
      <c r="AR12">
        <v>87</v>
      </c>
    </row>
    <row r="13" spans="1:44" x14ac:dyDescent="0.3">
      <c r="A13">
        <v>12</v>
      </c>
      <c r="B13" t="s">
        <v>105</v>
      </c>
      <c r="C13">
        <v>2024</v>
      </c>
      <c r="D13">
        <f>19</f>
        <v>19</v>
      </c>
      <c r="E13">
        <v>3</v>
      </c>
      <c r="F13" t="s">
        <v>106</v>
      </c>
      <c r="G13" t="s">
        <v>107</v>
      </c>
      <c r="H13" t="s">
        <v>108</v>
      </c>
      <c r="I13" t="s">
        <v>109</v>
      </c>
      <c r="J13" t="s">
        <v>50</v>
      </c>
      <c r="K13">
        <v>96</v>
      </c>
      <c r="L13">
        <v>87.7</v>
      </c>
      <c r="M13">
        <v>93.5</v>
      </c>
      <c r="N13">
        <v>4581</v>
      </c>
      <c r="O13">
        <v>191218</v>
      </c>
      <c r="P13">
        <v>93.5</v>
      </c>
      <c r="Q13">
        <v>463</v>
      </c>
      <c r="R13">
        <v>96.6</v>
      </c>
      <c r="S13">
        <v>1.52</v>
      </c>
      <c r="T13" t="s">
        <v>96</v>
      </c>
      <c r="U13">
        <v>57414</v>
      </c>
      <c r="V13">
        <v>51</v>
      </c>
      <c r="W13">
        <v>53</v>
      </c>
      <c r="X13">
        <v>3571</v>
      </c>
      <c r="Y13">
        <v>23.1</v>
      </c>
      <c r="Z13" t="s">
        <v>110</v>
      </c>
      <c r="AA13">
        <v>53.247703510000001</v>
      </c>
      <c r="AB13">
        <v>46.752296489999999</v>
      </c>
      <c r="AC13" t="s">
        <v>53</v>
      </c>
      <c r="AD13">
        <v>30870</v>
      </c>
      <c r="AE13">
        <v>20661</v>
      </c>
      <c r="AF13">
        <v>373.87</v>
      </c>
      <c r="AG13">
        <v>21</v>
      </c>
      <c r="AH13">
        <v>54</v>
      </c>
      <c r="AI13">
        <v>57.368190476190478</v>
      </c>
      <c r="AJ13">
        <v>42.18</v>
      </c>
      <c r="AK13">
        <v>66.97</v>
      </c>
      <c r="AL13">
        <v>30.67</v>
      </c>
      <c r="AM13">
        <v>19</v>
      </c>
      <c r="AN13">
        <v>98.78</v>
      </c>
      <c r="AO13">
        <v>94.74</v>
      </c>
      <c r="AP13">
        <v>23.1</v>
      </c>
      <c r="AQ13">
        <v>51</v>
      </c>
      <c r="AR13">
        <v>86.7</v>
      </c>
    </row>
    <row r="14" spans="1:44" x14ac:dyDescent="0.3">
      <c r="A14">
        <v>13</v>
      </c>
      <c r="B14" t="s">
        <v>111</v>
      </c>
      <c r="C14">
        <v>2024</v>
      </c>
      <c r="D14" t="s">
        <v>112</v>
      </c>
      <c r="E14">
        <v>1</v>
      </c>
      <c r="F14" t="s">
        <v>113</v>
      </c>
      <c r="G14" t="s">
        <v>114</v>
      </c>
      <c r="H14" t="s">
        <v>64</v>
      </c>
      <c r="I14" t="s">
        <v>115</v>
      </c>
      <c r="J14" t="s">
        <v>50</v>
      </c>
      <c r="K14">
        <v>99.7</v>
      </c>
      <c r="L14">
        <v>96</v>
      </c>
      <c r="M14">
        <v>57.2</v>
      </c>
      <c r="N14">
        <v>34598</v>
      </c>
      <c r="O14">
        <v>7</v>
      </c>
      <c r="P14">
        <v>57.2</v>
      </c>
      <c r="Q14">
        <v>681</v>
      </c>
      <c r="R14">
        <v>2</v>
      </c>
      <c r="S14">
        <v>7.0843032081770001E-4</v>
      </c>
      <c r="T14" t="s">
        <v>71</v>
      </c>
      <c r="U14">
        <v>79282</v>
      </c>
      <c r="V14">
        <v>27</v>
      </c>
      <c r="W14">
        <v>39</v>
      </c>
      <c r="X14">
        <v>9881</v>
      </c>
      <c r="Y14">
        <v>25.8</v>
      </c>
      <c r="Z14" t="s">
        <v>116</v>
      </c>
      <c r="AA14">
        <v>56</v>
      </c>
      <c r="AB14">
        <v>44</v>
      </c>
      <c r="AC14" t="s">
        <v>53</v>
      </c>
      <c r="AD14">
        <v>57886</v>
      </c>
      <c r="AE14">
        <v>22508</v>
      </c>
      <c r="AF14">
        <v>559.59</v>
      </c>
      <c r="AG14">
        <v>23</v>
      </c>
      <c r="AH14">
        <v>21</v>
      </c>
      <c r="AI14">
        <v>55.883456521739127</v>
      </c>
      <c r="AJ14">
        <v>36.42</v>
      </c>
      <c r="AK14">
        <v>48.16</v>
      </c>
      <c r="AL14">
        <v>22.85</v>
      </c>
      <c r="AM14">
        <v>21</v>
      </c>
      <c r="AN14">
        <v>98.64</v>
      </c>
      <c r="AO14">
        <v>35.119999999999997</v>
      </c>
      <c r="AP14">
        <v>25.8</v>
      </c>
      <c r="AQ14">
        <v>27</v>
      </c>
      <c r="AR14">
        <v>86.3</v>
      </c>
    </row>
    <row r="15" spans="1:44" x14ac:dyDescent="0.3">
      <c r="A15">
        <v>14</v>
      </c>
      <c r="B15" t="s">
        <v>117</v>
      </c>
      <c r="C15">
        <v>2024</v>
      </c>
      <c r="D15" t="s">
        <v>118</v>
      </c>
      <c r="E15">
        <v>6</v>
      </c>
      <c r="F15" t="s">
        <v>119</v>
      </c>
      <c r="G15" t="s">
        <v>63</v>
      </c>
      <c r="H15" t="s">
        <v>64</v>
      </c>
      <c r="I15" t="s">
        <v>120</v>
      </c>
      <c r="J15" t="s">
        <v>65</v>
      </c>
      <c r="K15">
        <v>99.6</v>
      </c>
      <c r="L15">
        <v>98.3</v>
      </c>
      <c r="M15">
        <v>40.700000000000003</v>
      </c>
      <c r="N15">
        <v>14043</v>
      </c>
      <c r="O15">
        <v>10</v>
      </c>
      <c r="P15">
        <v>40.700000000000003</v>
      </c>
      <c r="Q15">
        <v>270</v>
      </c>
      <c r="R15">
        <v>20</v>
      </c>
      <c r="S15">
        <v>1.4110342881332001E-3</v>
      </c>
      <c r="T15" t="s">
        <v>71</v>
      </c>
      <c r="U15">
        <v>25914</v>
      </c>
      <c r="V15">
        <v>35</v>
      </c>
      <c r="W15">
        <v>42</v>
      </c>
      <c r="X15">
        <v>7087</v>
      </c>
      <c r="Y15">
        <v>5.2</v>
      </c>
      <c r="Z15" t="s">
        <v>110</v>
      </c>
      <c r="AA15">
        <v>58.283946469999997</v>
      </c>
      <c r="AB15">
        <v>41.716053530000003</v>
      </c>
      <c r="AC15" t="s">
        <v>53</v>
      </c>
      <c r="AD15">
        <v>18113</v>
      </c>
      <c r="AE15">
        <v>12467</v>
      </c>
      <c r="AF15">
        <v>647.61</v>
      </c>
      <c r="AG15">
        <v>98</v>
      </c>
      <c r="AH15">
        <v>2</v>
      </c>
      <c r="AI15">
        <v>56.843244897959181</v>
      </c>
      <c r="AJ15">
        <v>29.74</v>
      </c>
      <c r="AK15">
        <v>38.11</v>
      </c>
      <c r="AL15">
        <v>19.260000000000002</v>
      </c>
      <c r="AM15">
        <v>23</v>
      </c>
      <c r="AN15">
        <v>98.5</v>
      </c>
      <c r="AO15">
        <v>32.42</v>
      </c>
      <c r="AP15">
        <v>5.2</v>
      </c>
      <c r="AQ15">
        <v>35</v>
      </c>
      <c r="AR15">
        <v>85.9</v>
      </c>
    </row>
    <row r="16" spans="1:44" x14ac:dyDescent="0.3">
      <c r="A16">
        <v>15</v>
      </c>
      <c r="B16" t="s">
        <v>121</v>
      </c>
      <c r="C16">
        <v>2024</v>
      </c>
      <c r="D16" t="s">
        <v>122</v>
      </c>
      <c r="E16">
        <v>2</v>
      </c>
      <c r="F16" t="s">
        <v>123</v>
      </c>
      <c r="G16" t="s">
        <v>99</v>
      </c>
      <c r="H16" t="s">
        <v>100</v>
      </c>
      <c r="I16" t="s">
        <v>101</v>
      </c>
      <c r="J16" t="s">
        <v>50</v>
      </c>
      <c r="K16">
        <v>99.1</v>
      </c>
      <c r="L16">
        <v>96.9</v>
      </c>
      <c r="M16">
        <v>98.9</v>
      </c>
      <c r="N16">
        <v>22723</v>
      </c>
      <c r="O16">
        <v>108</v>
      </c>
      <c r="P16">
        <v>98.9</v>
      </c>
      <c r="Q16">
        <v>830</v>
      </c>
      <c r="R16">
        <v>22</v>
      </c>
      <c r="S16">
        <v>1.7492711370262301E-2</v>
      </c>
      <c r="T16" t="s">
        <v>71</v>
      </c>
      <c r="U16">
        <v>38518</v>
      </c>
      <c r="V16">
        <v>10</v>
      </c>
      <c r="W16">
        <v>9</v>
      </c>
      <c r="X16">
        <v>6174</v>
      </c>
      <c r="Y16">
        <v>11.2</v>
      </c>
      <c r="Z16" t="s">
        <v>124</v>
      </c>
      <c r="AA16">
        <v>39.521769489999997</v>
      </c>
      <c r="AB16">
        <v>60.478230510000003</v>
      </c>
      <c r="AC16" t="s">
        <v>53</v>
      </c>
      <c r="AD16">
        <v>16000</v>
      </c>
      <c r="AE16">
        <v>22289</v>
      </c>
      <c r="AF16">
        <v>616.32000000000005</v>
      </c>
      <c r="AG16">
        <v>35</v>
      </c>
      <c r="AH16">
        <v>12</v>
      </c>
      <c r="AI16">
        <v>56.538228571428569</v>
      </c>
      <c r="AJ16">
        <v>21.88</v>
      </c>
      <c r="AK16">
        <v>70.61</v>
      </c>
      <c r="AL16">
        <v>14.17</v>
      </c>
      <c r="AM16">
        <v>25</v>
      </c>
      <c r="AN16">
        <v>98.36</v>
      </c>
      <c r="AO16">
        <v>68.14</v>
      </c>
      <c r="AP16">
        <v>11.2</v>
      </c>
      <c r="AQ16">
        <v>10</v>
      </c>
      <c r="AR16">
        <v>84.9</v>
      </c>
    </row>
    <row r="17" spans="1:44" x14ac:dyDescent="0.3">
      <c r="A17">
        <v>16</v>
      </c>
      <c r="B17" t="s">
        <v>125</v>
      </c>
      <c r="C17">
        <v>2024</v>
      </c>
      <c r="D17" t="s">
        <v>126</v>
      </c>
      <c r="E17">
        <v>13</v>
      </c>
      <c r="F17" t="s">
        <v>127</v>
      </c>
      <c r="G17" t="s">
        <v>63</v>
      </c>
      <c r="H17" t="s">
        <v>64</v>
      </c>
      <c r="I17" t="s">
        <v>128</v>
      </c>
      <c r="J17" t="s">
        <v>65</v>
      </c>
      <c r="K17">
        <v>87.3</v>
      </c>
      <c r="L17">
        <v>59.7</v>
      </c>
      <c r="M17">
        <v>89.4</v>
      </c>
      <c r="N17">
        <v>12135</v>
      </c>
      <c r="O17">
        <v>3</v>
      </c>
      <c r="P17">
        <v>89.4</v>
      </c>
      <c r="Q17">
        <v>372</v>
      </c>
      <c r="R17">
        <v>8</v>
      </c>
      <c r="S17">
        <v>6.179196704428E-4</v>
      </c>
      <c r="T17" t="s">
        <v>51</v>
      </c>
      <c r="U17">
        <v>15772</v>
      </c>
      <c r="V17">
        <v>28</v>
      </c>
      <c r="W17">
        <v>34</v>
      </c>
      <c r="X17">
        <v>4855</v>
      </c>
      <c r="Y17">
        <v>4.0999999999999996</v>
      </c>
      <c r="Z17" t="s">
        <v>116</v>
      </c>
      <c r="AA17">
        <v>54</v>
      </c>
      <c r="AB17">
        <v>46</v>
      </c>
      <c r="AC17" t="s">
        <v>53</v>
      </c>
      <c r="AD17">
        <v>13881</v>
      </c>
      <c r="AE17">
        <v>7394</v>
      </c>
      <c r="AF17">
        <v>647.61</v>
      </c>
      <c r="AG17">
        <v>98</v>
      </c>
      <c r="AH17">
        <v>2</v>
      </c>
      <c r="AI17">
        <v>56.843244897959181</v>
      </c>
      <c r="AJ17">
        <v>29.74</v>
      </c>
      <c r="AK17">
        <v>38.11</v>
      </c>
      <c r="AL17">
        <v>19.260000000000002</v>
      </c>
      <c r="AM17">
        <v>28</v>
      </c>
      <c r="AN17">
        <v>98.14</v>
      </c>
      <c r="AO17">
        <v>56.84</v>
      </c>
      <c r="AP17">
        <v>4.0999999999999996</v>
      </c>
      <c r="AQ17">
        <v>28</v>
      </c>
      <c r="AR17">
        <v>84.5</v>
      </c>
    </row>
    <row r="18" spans="1:44" x14ac:dyDescent="0.3">
      <c r="A18">
        <v>17</v>
      </c>
      <c r="B18" t="s">
        <v>129</v>
      </c>
      <c r="C18">
        <v>2024</v>
      </c>
      <c r="D18" t="s">
        <v>126</v>
      </c>
      <c r="E18">
        <v>1</v>
      </c>
      <c r="F18" t="s">
        <v>130</v>
      </c>
      <c r="G18" t="s">
        <v>131</v>
      </c>
      <c r="H18" t="s">
        <v>100</v>
      </c>
      <c r="I18" t="s">
        <v>132</v>
      </c>
      <c r="J18" t="s">
        <v>50</v>
      </c>
      <c r="K18">
        <v>100</v>
      </c>
      <c r="L18">
        <v>99.8</v>
      </c>
      <c r="M18">
        <v>70</v>
      </c>
      <c r="N18">
        <v>7042</v>
      </c>
      <c r="O18">
        <v>83400</v>
      </c>
      <c r="P18">
        <v>70</v>
      </c>
      <c r="Q18">
        <v>245</v>
      </c>
      <c r="R18">
        <v>85</v>
      </c>
      <c r="S18">
        <v>4.8899999999999997</v>
      </c>
      <c r="T18" t="s">
        <v>71</v>
      </c>
      <c r="U18">
        <v>26345</v>
      </c>
      <c r="V18">
        <v>15</v>
      </c>
      <c r="W18">
        <v>18</v>
      </c>
      <c r="X18">
        <v>4473</v>
      </c>
      <c r="Y18">
        <v>10.3</v>
      </c>
      <c r="Z18" t="s">
        <v>133</v>
      </c>
      <c r="AA18">
        <v>49.638099879999999</v>
      </c>
      <c r="AB18">
        <v>50.361900120000001</v>
      </c>
      <c r="AC18" t="s">
        <v>53</v>
      </c>
      <c r="AD18">
        <v>19387</v>
      </c>
      <c r="AE18">
        <v>6911</v>
      </c>
      <c r="AF18">
        <v>1349.57</v>
      </c>
      <c r="AG18">
        <v>37</v>
      </c>
      <c r="AH18">
        <v>29</v>
      </c>
      <c r="AI18">
        <v>35.237824324324329</v>
      </c>
      <c r="AJ18">
        <v>25.61</v>
      </c>
      <c r="AK18">
        <v>22.27</v>
      </c>
      <c r="AL18">
        <v>5.48</v>
      </c>
      <c r="AM18">
        <v>28</v>
      </c>
      <c r="AN18">
        <v>98.14</v>
      </c>
      <c r="AO18">
        <v>76</v>
      </c>
      <c r="AP18">
        <v>10.3</v>
      </c>
      <c r="AQ18">
        <v>15</v>
      </c>
      <c r="AR18">
        <v>84.3</v>
      </c>
    </row>
    <row r="19" spans="1:44" x14ac:dyDescent="0.3">
      <c r="A19">
        <v>18</v>
      </c>
      <c r="B19" t="s">
        <v>134</v>
      </c>
      <c r="C19">
        <v>2024</v>
      </c>
      <c r="D19" t="s">
        <v>135</v>
      </c>
      <c r="E19">
        <v>2</v>
      </c>
      <c r="F19" t="s">
        <v>136</v>
      </c>
      <c r="G19" t="s">
        <v>114</v>
      </c>
      <c r="H19" t="s">
        <v>64</v>
      </c>
      <c r="I19" t="s">
        <v>137</v>
      </c>
      <c r="J19" t="s">
        <v>50</v>
      </c>
      <c r="K19">
        <v>93.7</v>
      </c>
      <c r="L19">
        <v>87.6</v>
      </c>
      <c r="M19">
        <v>62.1</v>
      </c>
      <c r="N19">
        <v>8522</v>
      </c>
      <c r="O19">
        <v>39</v>
      </c>
      <c r="P19">
        <v>62.1</v>
      </c>
      <c r="Q19">
        <v>295</v>
      </c>
      <c r="R19">
        <v>44</v>
      </c>
      <c r="S19">
        <v>1.00619195046439E-2</v>
      </c>
      <c r="T19" t="s">
        <v>58</v>
      </c>
      <c r="U19">
        <v>30821</v>
      </c>
      <c r="V19">
        <v>29</v>
      </c>
      <c r="W19">
        <v>29</v>
      </c>
      <c r="X19">
        <v>3876</v>
      </c>
      <c r="Y19">
        <v>11.9</v>
      </c>
      <c r="Z19" t="s">
        <v>138</v>
      </c>
      <c r="AA19">
        <v>61</v>
      </c>
      <c r="AB19">
        <v>39</v>
      </c>
      <c r="AC19" t="s">
        <v>53</v>
      </c>
      <c r="AD19">
        <v>17475</v>
      </c>
      <c r="AE19">
        <v>12721</v>
      </c>
      <c r="AF19">
        <v>559.59</v>
      </c>
      <c r="AG19">
        <v>23</v>
      </c>
      <c r="AH19">
        <v>21</v>
      </c>
      <c r="AI19">
        <v>55.883456521739127</v>
      </c>
      <c r="AJ19">
        <v>36.42</v>
      </c>
      <c r="AK19">
        <v>48.16</v>
      </c>
      <c r="AL19">
        <v>22.85</v>
      </c>
      <c r="AM19">
        <v>30</v>
      </c>
      <c r="AN19">
        <v>98</v>
      </c>
      <c r="AO19">
        <v>54.86</v>
      </c>
      <c r="AP19">
        <v>11.9</v>
      </c>
      <c r="AQ19">
        <v>29</v>
      </c>
      <c r="AR19">
        <v>83.7</v>
      </c>
    </row>
    <row r="20" spans="1:44" x14ac:dyDescent="0.3">
      <c r="A20">
        <v>19</v>
      </c>
      <c r="B20" t="s">
        <v>139</v>
      </c>
      <c r="C20">
        <v>2024</v>
      </c>
      <c r="D20" t="s">
        <v>140</v>
      </c>
      <c r="E20">
        <v>14</v>
      </c>
      <c r="F20" t="s">
        <v>141</v>
      </c>
      <c r="G20" t="s">
        <v>63</v>
      </c>
      <c r="H20" t="s">
        <v>64</v>
      </c>
      <c r="I20" t="s">
        <v>142</v>
      </c>
      <c r="J20" t="s">
        <v>50</v>
      </c>
      <c r="K20">
        <v>98.3</v>
      </c>
      <c r="L20">
        <v>89.9</v>
      </c>
      <c r="M20">
        <v>56.2</v>
      </c>
      <c r="N20">
        <v>27181</v>
      </c>
      <c r="O20">
        <v>231537</v>
      </c>
      <c r="P20">
        <v>56.2</v>
      </c>
      <c r="Q20">
        <v>457</v>
      </c>
      <c r="R20">
        <v>76.900000000000006</v>
      </c>
      <c r="S20">
        <v>5.57</v>
      </c>
      <c r="T20" t="s">
        <v>71</v>
      </c>
      <c r="U20">
        <v>45783</v>
      </c>
      <c r="V20">
        <v>16</v>
      </c>
      <c r="W20">
        <v>19</v>
      </c>
      <c r="X20">
        <v>7132</v>
      </c>
      <c r="Y20">
        <v>8.1</v>
      </c>
      <c r="Z20" t="s">
        <v>66</v>
      </c>
      <c r="AA20">
        <v>52</v>
      </c>
      <c r="AB20">
        <v>48</v>
      </c>
      <c r="AC20" t="s">
        <v>53</v>
      </c>
      <c r="AD20">
        <v>29895</v>
      </c>
      <c r="AE20">
        <v>18554</v>
      </c>
      <c r="AF20">
        <v>647.61</v>
      </c>
      <c r="AG20">
        <v>98</v>
      </c>
      <c r="AH20">
        <v>2</v>
      </c>
      <c r="AI20">
        <v>56.843244897959181</v>
      </c>
      <c r="AJ20">
        <v>29.74</v>
      </c>
      <c r="AK20">
        <v>38.11</v>
      </c>
      <c r="AL20">
        <v>19.260000000000002</v>
      </c>
      <c r="AM20">
        <v>33</v>
      </c>
      <c r="AN20">
        <v>97.78</v>
      </c>
      <c r="AO20">
        <v>64.48</v>
      </c>
      <c r="AP20">
        <v>8.1</v>
      </c>
      <c r="AQ20">
        <v>16</v>
      </c>
      <c r="AR20">
        <v>81.7</v>
      </c>
    </row>
    <row r="21" spans="1:44" x14ac:dyDescent="0.3">
      <c r="A21">
        <v>20</v>
      </c>
      <c r="B21" t="s">
        <v>143</v>
      </c>
      <c r="C21">
        <v>2024</v>
      </c>
      <c r="D21">
        <f>34</f>
        <v>34</v>
      </c>
      <c r="E21">
        <v>3</v>
      </c>
      <c r="F21" t="s">
        <v>144</v>
      </c>
      <c r="G21" t="s">
        <v>114</v>
      </c>
      <c r="H21" t="s">
        <v>64</v>
      </c>
      <c r="I21" t="s">
        <v>145</v>
      </c>
      <c r="J21" t="s">
        <v>50</v>
      </c>
      <c r="K21">
        <v>98.2</v>
      </c>
      <c r="L21">
        <v>93.5</v>
      </c>
      <c r="M21">
        <v>57</v>
      </c>
      <c r="N21">
        <v>26031</v>
      </c>
      <c r="O21">
        <v>24</v>
      </c>
      <c r="P21">
        <v>57</v>
      </c>
      <c r="Q21">
        <v>577</v>
      </c>
      <c r="R21">
        <v>25</v>
      </c>
      <c r="S21">
        <v>3.8703434929850001E-3</v>
      </c>
      <c r="T21" t="s">
        <v>96</v>
      </c>
      <c r="U21">
        <v>58987</v>
      </c>
      <c r="V21">
        <v>34</v>
      </c>
      <c r="W21">
        <v>34</v>
      </c>
      <c r="X21">
        <v>6201</v>
      </c>
      <c r="Y21">
        <v>19.399999999999999</v>
      </c>
      <c r="Z21" t="s">
        <v>146</v>
      </c>
      <c r="AA21">
        <v>55</v>
      </c>
      <c r="AB21">
        <v>45</v>
      </c>
      <c r="AC21" t="s">
        <v>53</v>
      </c>
      <c r="AD21">
        <v>37415</v>
      </c>
      <c r="AE21">
        <v>22697</v>
      </c>
      <c r="AF21">
        <v>559.59</v>
      </c>
      <c r="AG21">
        <v>23</v>
      </c>
      <c r="AH21">
        <v>21</v>
      </c>
      <c r="AI21">
        <v>55.883456521739127</v>
      </c>
      <c r="AJ21">
        <v>36.42</v>
      </c>
      <c r="AK21">
        <v>48.16</v>
      </c>
      <c r="AL21">
        <v>22.85</v>
      </c>
      <c r="AM21">
        <v>34</v>
      </c>
      <c r="AN21">
        <v>97.71</v>
      </c>
      <c r="AO21">
        <v>44.2</v>
      </c>
      <c r="AP21">
        <v>19.399999999999999</v>
      </c>
      <c r="AQ21">
        <v>34</v>
      </c>
      <c r="AR21">
        <v>81.5</v>
      </c>
    </row>
    <row r="22" spans="1:44" x14ac:dyDescent="0.3">
      <c r="A22">
        <v>21</v>
      </c>
      <c r="B22" t="s">
        <v>147</v>
      </c>
      <c r="C22">
        <v>2024</v>
      </c>
      <c r="D22" t="s">
        <v>148</v>
      </c>
      <c r="E22">
        <v>5</v>
      </c>
      <c r="F22" t="s">
        <v>149</v>
      </c>
      <c r="G22" t="s">
        <v>150</v>
      </c>
      <c r="H22" t="s">
        <v>48</v>
      </c>
      <c r="I22" t="s">
        <v>151</v>
      </c>
      <c r="J22" t="s">
        <v>50</v>
      </c>
      <c r="K22">
        <v>83.9</v>
      </c>
      <c r="L22">
        <v>98.2</v>
      </c>
      <c r="M22">
        <v>59.6</v>
      </c>
      <c r="N22">
        <v>20658</v>
      </c>
      <c r="O22">
        <v>139</v>
      </c>
      <c r="P22">
        <v>59.6</v>
      </c>
      <c r="Q22">
        <v>458</v>
      </c>
      <c r="R22">
        <v>106</v>
      </c>
      <c r="S22">
        <v>2.0861473810595801E-2</v>
      </c>
      <c r="T22" t="s">
        <v>77</v>
      </c>
      <c r="U22">
        <v>35506</v>
      </c>
      <c r="V22">
        <v>39</v>
      </c>
      <c r="W22">
        <v>45</v>
      </c>
      <c r="X22">
        <v>6663</v>
      </c>
      <c r="Y22">
        <v>44.4</v>
      </c>
      <c r="Z22" t="s">
        <v>152</v>
      </c>
      <c r="AA22">
        <v>37</v>
      </c>
      <c r="AB22">
        <v>63</v>
      </c>
      <c r="AC22" t="s">
        <v>53</v>
      </c>
      <c r="AD22">
        <v>25726</v>
      </c>
      <c r="AE22">
        <v>10029</v>
      </c>
      <c r="AF22">
        <v>409.72</v>
      </c>
      <c r="AG22">
        <v>9</v>
      </c>
      <c r="AH22">
        <v>31</v>
      </c>
      <c r="AI22">
        <v>59.471888888888877</v>
      </c>
      <c r="AJ22">
        <v>45.16</v>
      </c>
      <c r="AK22">
        <v>47.76</v>
      </c>
      <c r="AL22">
        <v>22.4</v>
      </c>
      <c r="AM22">
        <v>37</v>
      </c>
      <c r="AN22">
        <v>97.5</v>
      </c>
      <c r="AO22">
        <v>78.16</v>
      </c>
      <c r="AP22">
        <v>44.4</v>
      </c>
      <c r="AQ22">
        <v>39</v>
      </c>
      <c r="AR22">
        <v>80</v>
      </c>
    </row>
    <row r="23" spans="1:44" x14ac:dyDescent="0.3">
      <c r="A23">
        <v>22</v>
      </c>
      <c r="B23" t="s">
        <v>153</v>
      </c>
      <c r="C23">
        <v>2024</v>
      </c>
      <c r="D23">
        <f>38</f>
        <v>38</v>
      </c>
      <c r="E23">
        <v>2</v>
      </c>
      <c r="F23" t="s">
        <v>154</v>
      </c>
      <c r="G23" t="s">
        <v>155</v>
      </c>
      <c r="H23" t="s">
        <v>48</v>
      </c>
      <c r="I23" t="s">
        <v>156</v>
      </c>
      <c r="J23" t="s">
        <v>50</v>
      </c>
      <c r="K23">
        <v>44.8</v>
      </c>
      <c r="L23">
        <v>99.6</v>
      </c>
      <c r="M23">
        <v>93.8</v>
      </c>
      <c r="N23">
        <v>2003</v>
      </c>
      <c r="O23">
        <v>28127</v>
      </c>
      <c r="P23">
        <v>93.8</v>
      </c>
      <c r="Q23">
        <v>165</v>
      </c>
      <c r="R23">
        <v>77.7</v>
      </c>
      <c r="S23">
        <v>4.8</v>
      </c>
      <c r="T23" t="s">
        <v>51</v>
      </c>
      <c r="U23">
        <v>6073</v>
      </c>
      <c r="V23">
        <v>42</v>
      </c>
      <c r="W23">
        <v>43</v>
      </c>
      <c r="X23">
        <v>1057</v>
      </c>
      <c r="Y23">
        <v>6.8</v>
      </c>
      <c r="Z23" t="s">
        <v>157</v>
      </c>
      <c r="AA23">
        <v>62.142522589999999</v>
      </c>
      <c r="AB23">
        <v>37.857477410000001</v>
      </c>
      <c r="AC23" t="s">
        <v>53</v>
      </c>
      <c r="AD23">
        <v>4417</v>
      </c>
      <c r="AE23">
        <v>1800</v>
      </c>
      <c r="AF23">
        <v>858.67</v>
      </c>
      <c r="AG23">
        <v>9</v>
      </c>
      <c r="AH23">
        <v>58</v>
      </c>
      <c r="AI23">
        <v>54.703833333333343</v>
      </c>
      <c r="AJ23">
        <v>33.89</v>
      </c>
      <c r="AK23">
        <v>35.92</v>
      </c>
      <c r="AL23">
        <v>20.8</v>
      </c>
      <c r="AM23">
        <v>38</v>
      </c>
      <c r="AN23">
        <v>97.43</v>
      </c>
      <c r="AO23">
        <v>87.36</v>
      </c>
      <c r="AP23">
        <v>6.8</v>
      </c>
      <c r="AQ23">
        <v>42</v>
      </c>
      <c r="AR23">
        <v>79.5</v>
      </c>
    </row>
    <row r="24" spans="1:44" x14ac:dyDescent="0.3">
      <c r="A24">
        <v>23</v>
      </c>
      <c r="B24" t="s">
        <v>158</v>
      </c>
      <c r="C24">
        <v>2024</v>
      </c>
      <c r="D24" t="s">
        <v>159</v>
      </c>
      <c r="E24">
        <v>1</v>
      </c>
      <c r="F24" t="s">
        <v>160</v>
      </c>
      <c r="G24" t="s">
        <v>161</v>
      </c>
      <c r="H24" t="s">
        <v>100</v>
      </c>
      <c r="I24" t="s">
        <v>162</v>
      </c>
      <c r="J24" t="s">
        <v>50</v>
      </c>
      <c r="K24">
        <v>99</v>
      </c>
      <c r="L24">
        <v>98.2</v>
      </c>
      <c r="M24">
        <v>64.900000000000006</v>
      </c>
      <c r="N24">
        <v>7496</v>
      </c>
      <c r="O24">
        <v>129</v>
      </c>
      <c r="P24">
        <v>64.900000000000006</v>
      </c>
      <c r="Q24">
        <v>465</v>
      </c>
      <c r="R24">
        <v>19</v>
      </c>
      <c r="S24">
        <v>3.3428349313293602E-2</v>
      </c>
      <c r="T24" t="s">
        <v>96</v>
      </c>
      <c r="U24">
        <v>28620</v>
      </c>
      <c r="V24">
        <v>13</v>
      </c>
      <c r="W24">
        <v>16</v>
      </c>
      <c r="X24">
        <v>3859</v>
      </c>
      <c r="Y24">
        <v>16.100000000000001</v>
      </c>
      <c r="Z24" t="s">
        <v>78</v>
      </c>
      <c r="AA24">
        <v>41.86502419</v>
      </c>
      <c r="AB24">
        <v>58.13497581</v>
      </c>
      <c r="AC24" t="s">
        <v>53</v>
      </c>
      <c r="AD24">
        <v>17014</v>
      </c>
      <c r="AE24">
        <v>9769</v>
      </c>
      <c r="AF24">
        <v>682.03</v>
      </c>
      <c r="AG24">
        <v>18</v>
      </c>
      <c r="AH24">
        <v>62</v>
      </c>
      <c r="AI24">
        <v>43.175027777777778</v>
      </c>
      <c r="AJ24">
        <v>22.69</v>
      </c>
      <c r="AK24">
        <v>33</v>
      </c>
      <c r="AL24">
        <v>15.2</v>
      </c>
      <c r="AM24">
        <v>41</v>
      </c>
      <c r="AN24">
        <v>97.21</v>
      </c>
      <c r="AO24">
        <v>46.54</v>
      </c>
      <c r="AP24">
        <v>16.100000000000001</v>
      </c>
      <c r="AQ24">
        <v>13</v>
      </c>
      <c r="AR24">
        <v>78.5</v>
      </c>
    </row>
    <row r="25" spans="1:44" x14ac:dyDescent="0.3">
      <c r="A25">
        <v>24</v>
      </c>
      <c r="B25" t="s">
        <v>163</v>
      </c>
      <c r="C25">
        <v>2024</v>
      </c>
      <c r="D25" t="s">
        <v>164</v>
      </c>
      <c r="E25">
        <v>6</v>
      </c>
      <c r="F25" t="s">
        <v>165</v>
      </c>
      <c r="G25" t="s">
        <v>107</v>
      </c>
      <c r="H25" t="s">
        <v>108</v>
      </c>
      <c r="I25" t="s">
        <v>166</v>
      </c>
      <c r="J25" t="s">
        <v>50</v>
      </c>
      <c r="K25">
        <v>88.4</v>
      </c>
      <c r="L25">
        <v>75.2</v>
      </c>
      <c r="M25">
        <v>88.4</v>
      </c>
      <c r="N25">
        <v>16180</v>
      </c>
      <c r="O25">
        <v>101</v>
      </c>
      <c r="P25">
        <v>88.4</v>
      </c>
      <c r="Q25">
        <v>472</v>
      </c>
      <c r="R25">
        <v>56</v>
      </c>
      <c r="S25">
        <v>2.6220145379023799E-2</v>
      </c>
      <c r="T25" t="s">
        <v>96</v>
      </c>
      <c r="U25">
        <v>58460</v>
      </c>
      <c r="V25">
        <v>38</v>
      </c>
      <c r="W25">
        <v>36</v>
      </c>
      <c r="X25">
        <v>3852</v>
      </c>
      <c r="Y25">
        <v>43.1</v>
      </c>
      <c r="Z25" t="s">
        <v>116</v>
      </c>
      <c r="AA25">
        <v>54</v>
      </c>
      <c r="AB25">
        <v>46</v>
      </c>
      <c r="AC25" t="s">
        <v>53</v>
      </c>
      <c r="AD25">
        <v>42921</v>
      </c>
      <c r="AE25">
        <v>13366</v>
      </c>
      <c r="AF25">
        <v>373.87</v>
      </c>
      <c r="AG25">
        <v>21</v>
      </c>
      <c r="AH25">
        <v>54</v>
      </c>
      <c r="AI25">
        <v>57.368190476190478</v>
      </c>
      <c r="AJ25">
        <v>42.18</v>
      </c>
      <c r="AK25">
        <v>66.97</v>
      </c>
      <c r="AL25">
        <v>30.67</v>
      </c>
      <c r="AM25">
        <v>42</v>
      </c>
      <c r="AN25">
        <v>97.14</v>
      </c>
      <c r="AO25">
        <v>75.44</v>
      </c>
      <c r="AP25">
        <v>43.1</v>
      </c>
      <c r="AQ25">
        <v>38</v>
      </c>
      <c r="AR25">
        <v>78.2</v>
      </c>
    </row>
    <row r="26" spans="1:44" x14ac:dyDescent="0.3">
      <c r="A26">
        <v>25</v>
      </c>
      <c r="B26" t="s">
        <v>167</v>
      </c>
      <c r="C26">
        <v>2024</v>
      </c>
      <c r="D26" t="s">
        <v>168</v>
      </c>
      <c r="E26">
        <v>7</v>
      </c>
      <c r="F26" t="s">
        <v>169</v>
      </c>
      <c r="G26" t="s">
        <v>107</v>
      </c>
      <c r="H26" t="s">
        <v>108</v>
      </c>
      <c r="I26" t="s">
        <v>170</v>
      </c>
      <c r="J26" t="s">
        <v>50</v>
      </c>
      <c r="K26">
        <v>87.1</v>
      </c>
      <c r="L26">
        <v>73.7</v>
      </c>
      <c r="M26">
        <v>87</v>
      </c>
      <c r="N26">
        <v>15427</v>
      </c>
      <c r="O26">
        <v>364117</v>
      </c>
      <c r="P26">
        <v>87</v>
      </c>
      <c r="Q26">
        <v>538</v>
      </c>
      <c r="R26">
        <v>94.2</v>
      </c>
      <c r="S26">
        <v>4.76</v>
      </c>
      <c r="T26" t="s">
        <v>71</v>
      </c>
      <c r="U26">
        <v>42847</v>
      </c>
      <c r="V26">
        <v>42</v>
      </c>
      <c r="W26">
        <v>43</v>
      </c>
      <c r="X26">
        <v>3513</v>
      </c>
      <c r="Y26">
        <v>39.1</v>
      </c>
      <c r="Z26" t="s">
        <v>146</v>
      </c>
      <c r="AA26">
        <v>54</v>
      </c>
      <c r="AB26">
        <v>46</v>
      </c>
      <c r="AC26" t="s">
        <v>53</v>
      </c>
      <c r="AD26">
        <v>34512</v>
      </c>
      <c r="AE26">
        <v>6783</v>
      </c>
      <c r="AF26">
        <v>373.87</v>
      </c>
      <c r="AG26">
        <v>21</v>
      </c>
      <c r="AH26">
        <v>54</v>
      </c>
      <c r="AI26">
        <v>57.368190476190478</v>
      </c>
      <c r="AJ26">
        <v>42.18</v>
      </c>
      <c r="AK26">
        <v>66.97</v>
      </c>
      <c r="AL26">
        <v>30.67</v>
      </c>
      <c r="AM26">
        <v>43</v>
      </c>
      <c r="AN26">
        <v>97.07</v>
      </c>
      <c r="AO26">
        <v>89.88</v>
      </c>
      <c r="AP26">
        <v>39.1</v>
      </c>
      <c r="AQ26">
        <v>42</v>
      </c>
      <c r="AR26">
        <v>78.099999999999994</v>
      </c>
    </row>
    <row r="27" spans="1:44" x14ac:dyDescent="0.3">
      <c r="A27">
        <v>26</v>
      </c>
      <c r="B27" t="s">
        <v>171</v>
      </c>
      <c r="C27">
        <v>2024</v>
      </c>
      <c r="D27">
        <f>44</f>
        <v>44</v>
      </c>
      <c r="E27">
        <v>4</v>
      </c>
      <c r="F27" t="s">
        <v>172</v>
      </c>
      <c r="G27" t="s">
        <v>99</v>
      </c>
      <c r="H27" t="s">
        <v>100</v>
      </c>
      <c r="I27" t="s">
        <v>173</v>
      </c>
      <c r="J27" t="s">
        <v>50</v>
      </c>
      <c r="K27">
        <v>73.8</v>
      </c>
      <c r="L27">
        <v>95.7</v>
      </c>
      <c r="M27">
        <v>97.6</v>
      </c>
      <c r="N27">
        <v>16079</v>
      </c>
      <c r="O27">
        <v>304</v>
      </c>
      <c r="P27">
        <v>97.6</v>
      </c>
      <c r="Q27">
        <v>596</v>
      </c>
      <c r="R27">
        <v>15</v>
      </c>
      <c r="S27">
        <v>5.0123660346248898E-2</v>
      </c>
      <c r="T27" t="s">
        <v>77</v>
      </c>
      <c r="U27">
        <v>48169</v>
      </c>
      <c r="V27">
        <v>16</v>
      </c>
      <c r="W27">
        <v>14</v>
      </c>
      <c r="X27">
        <v>6065</v>
      </c>
      <c r="Y27">
        <v>12</v>
      </c>
      <c r="Z27" t="s">
        <v>82</v>
      </c>
      <c r="AA27">
        <v>58.544120380000003</v>
      </c>
      <c r="AB27">
        <v>41.455879619999997</v>
      </c>
      <c r="AC27" t="s">
        <v>53</v>
      </c>
      <c r="AD27">
        <v>43009</v>
      </c>
      <c r="AE27">
        <v>11304</v>
      </c>
      <c r="AF27">
        <v>616.32000000000005</v>
      </c>
      <c r="AG27">
        <v>35</v>
      </c>
      <c r="AH27">
        <v>12</v>
      </c>
      <c r="AI27">
        <v>56.538228571428569</v>
      </c>
      <c r="AJ27">
        <v>21.88</v>
      </c>
      <c r="AK27">
        <v>70.61</v>
      </c>
      <c r="AL27">
        <v>14.17</v>
      </c>
      <c r="AM27">
        <v>44</v>
      </c>
      <c r="AN27">
        <v>97</v>
      </c>
      <c r="AO27">
        <v>64.56</v>
      </c>
      <c r="AP27">
        <v>12</v>
      </c>
      <c r="AQ27">
        <v>16</v>
      </c>
      <c r="AR27">
        <v>77.8</v>
      </c>
    </row>
    <row r="28" spans="1:44" x14ac:dyDescent="0.3">
      <c r="A28">
        <v>27</v>
      </c>
      <c r="B28" t="s">
        <v>174</v>
      </c>
      <c r="C28">
        <v>2024</v>
      </c>
      <c r="D28" t="s">
        <v>175</v>
      </c>
      <c r="E28">
        <v>2</v>
      </c>
      <c r="F28" t="s">
        <v>176</v>
      </c>
      <c r="G28" t="s">
        <v>131</v>
      </c>
      <c r="H28" t="s">
        <v>100</v>
      </c>
      <c r="I28" t="s">
        <v>177</v>
      </c>
      <c r="J28" t="s">
        <v>50</v>
      </c>
      <c r="K28">
        <v>98.7</v>
      </c>
      <c r="L28">
        <v>99.1</v>
      </c>
      <c r="M28">
        <v>49.3</v>
      </c>
      <c r="N28">
        <v>14749</v>
      </c>
      <c r="O28">
        <v>101</v>
      </c>
      <c r="P28">
        <v>49.3</v>
      </c>
      <c r="Q28">
        <v>325</v>
      </c>
      <c r="R28">
        <v>29</v>
      </c>
      <c r="S28">
        <v>2.5824597289695699E-2</v>
      </c>
      <c r="T28" t="s">
        <v>77</v>
      </c>
      <c r="U28">
        <v>21817</v>
      </c>
      <c r="V28">
        <v>11</v>
      </c>
      <c r="W28">
        <v>11</v>
      </c>
      <c r="X28">
        <v>3911</v>
      </c>
      <c r="Y28">
        <v>9</v>
      </c>
      <c r="Z28" t="s">
        <v>157</v>
      </c>
      <c r="AA28">
        <v>25</v>
      </c>
      <c r="AB28">
        <v>75</v>
      </c>
      <c r="AC28" t="s">
        <v>53</v>
      </c>
      <c r="AD28">
        <v>15588</v>
      </c>
      <c r="AE28">
        <v>6029</v>
      </c>
      <c r="AF28">
        <v>1349.57</v>
      </c>
      <c r="AG28">
        <v>37</v>
      </c>
      <c r="AH28">
        <v>29</v>
      </c>
      <c r="AI28">
        <v>35.237824324324329</v>
      </c>
      <c r="AJ28">
        <v>25.61</v>
      </c>
      <c r="AK28">
        <v>22.27</v>
      </c>
      <c r="AL28">
        <v>5.48</v>
      </c>
      <c r="AM28">
        <v>46</v>
      </c>
      <c r="AN28">
        <v>96.85</v>
      </c>
      <c r="AO28">
        <v>41.18</v>
      </c>
      <c r="AP28">
        <v>9</v>
      </c>
      <c r="AQ28">
        <v>11</v>
      </c>
      <c r="AR28">
        <v>76.3</v>
      </c>
    </row>
    <row r="29" spans="1:44" x14ac:dyDescent="0.3">
      <c r="A29">
        <v>28</v>
      </c>
      <c r="B29" t="s">
        <v>178</v>
      </c>
      <c r="C29">
        <v>2024</v>
      </c>
      <c r="D29">
        <f>47</f>
        <v>47</v>
      </c>
      <c r="E29">
        <v>10</v>
      </c>
      <c r="F29" t="s">
        <v>179</v>
      </c>
      <c r="G29" t="s">
        <v>180</v>
      </c>
      <c r="H29" t="s">
        <v>48</v>
      </c>
      <c r="I29" t="s">
        <v>181</v>
      </c>
      <c r="J29" t="s">
        <v>50</v>
      </c>
      <c r="K29">
        <v>73</v>
      </c>
      <c r="L29">
        <v>79</v>
      </c>
      <c r="M29">
        <v>84.9</v>
      </c>
      <c r="N29">
        <v>5869</v>
      </c>
      <c r="O29">
        <v>363</v>
      </c>
      <c r="P29">
        <v>84.9</v>
      </c>
      <c r="Q29">
        <v>371</v>
      </c>
      <c r="R29">
        <v>224</v>
      </c>
      <c r="S29">
        <v>0.17785399314061731</v>
      </c>
      <c r="T29" t="s">
        <v>71</v>
      </c>
      <c r="U29">
        <v>21262</v>
      </c>
      <c r="V29">
        <v>30</v>
      </c>
      <c r="W29">
        <v>35</v>
      </c>
      <c r="X29">
        <v>2041</v>
      </c>
      <c r="Y29">
        <v>15.9</v>
      </c>
      <c r="Z29" t="s">
        <v>182</v>
      </c>
      <c r="AA29">
        <v>32</v>
      </c>
      <c r="AB29">
        <v>68</v>
      </c>
      <c r="AC29" t="s">
        <v>53</v>
      </c>
      <c r="AD29">
        <v>13084</v>
      </c>
      <c r="AE29">
        <v>8326</v>
      </c>
      <c r="AF29">
        <v>159</v>
      </c>
      <c r="AG29">
        <v>9</v>
      </c>
      <c r="AH29">
        <v>48</v>
      </c>
      <c r="AI29">
        <v>67.177444444444447</v>
      </c>
      <c r="AJ29">
        <v>55.29</v>
      </c>
      <c r="AK29">
        <v>72.84</v>
      </c>
      <c r="AL29">
        <v>31.25</v>
      </c>
      <c r="AM29">
        <v>47</v>
      </c>
      <c r="AN29">
        <v>96.78</v>
      </c>
      <c r="AO29">
        <v>140.54</v>
      </c>
      <c r="AP29">
        <v>15.9</v>
      </c>
      <c r="AQ29">
        <v>30</v>
      </c>
      <c r="AR29">
        <v>76.2</v>
      </c>
    </row>
    <row r="30" spans="1:44" x14ac:dyDescent="0.3">
      <c r="A30">
        <v>29</v>
      </c>
      <c r="B30" t="s">
        <v>183</v>
      </c>
      <c r="C30">
        <v>2024</v>
      </c>
      <c r="D30">
        <f>47</f>
        <v>47</v>
      </c>
      <c r="E30">
        <v>18</v>
      </c>
      <c r="F30" t="s">
        <v>179</v>
      </c>
      <c r="G30" t="s">
        <v>63</v>
      </c>
      <c r="H30" t="s">
        <v>64</v>
      </c>
      <c r="I30" t="s">
        <v>184</v>
      </c>
      <c r="J30" t="s">
        <v>65</v>
      </c>
      <c r="K30">
        <v>83.8</v>
      </c>
      <c r="L30">
        <v>60.2</v>
      </c>
      <c r="M30">
        <v>70.3</v>
      </c>
      <c r="N30">
        <v>7802</v>
      </c>
      <c r="O30">
        <v>34</v>
      </c>
      <c r="P30">
        <v>70.3</v>
      </c>
      <c r="Q30">
        <v>298</v>
      </c>
      <c r="R30">
        <v>52</v>
      </c>
      <c r="S30">
        <v>9.3099671412924002E-3</v>
      </c>
      <c r="T30" t="s">
        <v>58</v>
      </c>
      <c r="U30">
        <v>18894</v>
      </c>
      <c r="V30">
        <v>18</v>
      </c>
      <c r="W30">
        <v>24</v>
      </c>
      <c r="X30">
        <v>3652</v>
      </c>
      <c r="Y30">
        <v>13.1</v>
      </c>
      <c r="Z30" t="s">
        <v>185</v>
      </c>
      <c r="AA30">
        <v>54</v>
      </c>
      <c r="AB30">
        <v>46</v>
      </c>
      <c r="AC30" t="s">
        <v>53</v>
      </c>
      <c r="AD30">
        <v>14415</v>
      </c>
      <c r="AE30">
        <v>6196</v>
      </c>
      <c r="AF30">
        <v>647.61</v>
      </c>
      <c r="AG30">
        <v>98</v>
      </c>
      <c r="AH30">
        <v>2</v>
      </c>
      <c r="AI30">
        <v>56.843244897959181</v>
      </c>
      <c r="AJ30">
        <v>29.74</v>
      </c>
      <c r="AK30">
        <v>38.11</v>
      </c>
      <c r="AL30">
        <v>19.260000000000002</v>
      </c>
      <c r="AM30">
        <v>47</v>
      </c>
      <c r="AN30">
        <v>96.78</v>
      </c>
      <c r="AO30">
        <v>62.98</v>
      </c>
      <c r="AP30">
        <v>13.1</v>
      </c>
      <c r="AQ30">
        <v>18</v>
      </c>
      <c r="AR30">
        <v>76.2</v>
      </c>
    </row>
    <row r="31" spans="1:44" x14ac:dyDescent="0.3">
      <c r="A31">
        <v>30</v>
      </c>
      <c r="B31" t="s">
        <v>186</v>
      </c>
      <c r="C31">
        <v>2024</v>
      </c>
      <c r="D31" t="s">
        <v>187</v>
      </c>
      <c r="E31">
        <v>5</v>
      </c>
      <c r="F31" t="s">
        <v>188</v>
      </c>
      <c r="G31" t="s">
        <v>99</v>
      </c>
      <c r="H31" t="s">
        <v>100</v>
      </c>
      <c r="I31" t="s">
        <v>189</v>
      </c>
      <c r="J31" t="s">
        <v>50</v>
      </c>
      <c r="K31">
        <v>84.7</v>
      </c>
      <c r="L31">
        <v>89.8</v>
      </c>
      <c r="M31">
        <v>72.400000000000006</v>
      </c>
      <c r="N31">
        <v>6894</v>
      </c>
      <c r="O31">
        <v>275</v>
      </c>
      <c r="P31">
        <v>72.400000000000006</v>
      </c>
      <c r="Q31">
        <v>310</v>
      </c>
      <c r="R31">
        <v>54</v>
      </c>
      <c r="S31">
        <v>6.07600530269553E-2</v>
      </c>
      <c r="T31" t="s">
        <v>71</v>
      </c>
      <c r="U31">
        <v>38101</v>
      </c>
      <c r="V31">
        <v>9</v>
      </c>
      <c r="W31">
        <v>10</v>
      </c>
      <c r="X31">
        <v>4526</v>
      </c>
      <c r="Y31">
        <v>12.6</v>
      </c>
      <c r="Z31" t="s">
        <v>185</v>
      </c>
      <c r="AA31">
        <v>52</v>
      </c>
      <c r="AB31">
        <v>48</v>
      </c>
      <c r="AC31" t="s">
        <v>53</v>
      </c>
      <c r="AD31">
        <v>27995</v>
      </c>
      <c r="AE31">
        <v>10606</v>
      </c>
      <c r="AF31">
        <v>616.32000000000005</v>
      </c>
      <c r="AG31">
        <v>35</v>
      </c>
      <c r="AH31">
        <v>12</v>
      </c>
      <c r="AI31">
        <v>56.538228571428569</v>
      </c>
      <c r="AJ31">
        <v>21.88</v>
      </c>
      <c r="AK31">
        <v>70.61</v>
      </c>
      <c r="AL31">
        <v>14.17</v>
      </c>
      <c r="AM31">
        <v>50</v>
      </c>
      <c r="AN31">
        <v>96.57</v>
      </c>
      <c r="AO31">
        <v>65.040000000000006</v>
      </c>
      <c r="AP31">
        <v>12.6</v>
      </c>
      <c r="AQ31">
        <v>9</v>
      </c>
      <c r="AR31">
        <v>74.400000000000006</v>
      </c>
    </row>
    <row r="32" spans="1:44" x14ac:dyDescent="0.3">
      <c r="A32">
        <v>31</v>
      </c>
      <c r="B32" t="s">
        <v>190</v>
      </c>
      <c r="C32">
        <v>2024</v>
      </c>
      <c r="D32" t="s">
        <v>191</v>
      </c>
      <c r="E32">
        <v>3</v>
      </c>
      <c r="F32" t="s">
        <v>192</v>
      </c>
      <c r="G32" t="s">
        <v>99</v>
      </c>
      <c r="H32" t="s">
        <v>100</v>
      </c>
      <c r="I32" t="s">
        <v>189</v>
      </c>
      <c r="J32" t="s">
        <v>50</v>
      </c>
      <c r="K32">
        <v>83.7</v>
      </c>
      <c r="L32">
        <v>83.3</v>
      </c>
      <c r="M32">
        <v>99.4</v>
      </c>
      <c r="N32">
        <v>10156</v>
      </c>
      <c r="O32">
        <v>167</v>
      </c>
      <c r="P32">
        <v>99.4</v>
      </c>
      <c r="Q32">
        <v>439</v>
      </c>
      <c r="R32">
        <v>17</v>
      </c>
      <c r="S32">
        <v>3.8075695394436802E-2</v>
      </c>
      <c r="T32" t="s">
        <v>96</v>
      </c>
      <c r="U32">
        <v>38472</v>
      </c>
      <c r="V32">
        <v>9</v>
      </c>
      <c r="W32">
        <v>11</v>
      </c>
      <c r="X32">
        <v>4386</v>
      </c>
      <c r="Y32">
        <v>12.6</v>
      </c>
      <c r="Z32" t="s">
        <v>152</v>
      </c>
      <c r="AA32">
        <v>36</v>
      </c>
      <c r="AB32">
        <v>64</v>
      </c>
      <c r="AC32" t="s">
        <v>53</v>
      </c>
      <c r="AD32">
        <v>32597</v>
      </c>
      <c r="AE32">
        <v>8910</v>
      </c>
      <c r="AF32">
        <v>616.32000000000005</v>
      </c>
      <c r="AG32">
        <v>35</v>
      </c>
      <c r="AH32">
        <v>12</v>
      </c>
      <c r="AI32">
        <v>56.538228571428569</v>
      </c>
      <c r="AJ32">
        <v>21.88</v>
      </c>
      <c r="AK32">
        <v>70.61</v>
      </c>
      <c r="AL32">
        <v>14.17</v>
      </c>
      <c r="AM32">
        <v>51</v>
      </c>
      <c r="AN32">
        <v>96.5</v>
      </c>
      <c r="AO32">
        <v>66.44</v>
      </c>
      <c r="AP32">
        <v>12.6</v>
      </c>
      <c r="AQ32">
        <v>9</v>
      </c>
      <c r="AR32">
        <v>74.3</v>
      </c>
    </row>
    <row r="33" spans="1:44" x14ac:dyDescent="0.3">
      <c r="A33">
        <v>32</v>
      </c>
      <c r="B33" t="s">
        <v>193</v>
      </c>
      <c r="C33">
        <v>2024</v>
      </c>
      <c r="D33" t="s">
        <v>194</v>
      </c>
      <c r="E33">
        <v>50</v>
      </c>
      <c r="F33" t="s">
        <v>195</v>
      </c>
      <c r="G33" t="s">
        <v>63</v>
      </c>
      <c r="H33" t="s">
        <v>64</v>
      </c>
      <c r="I33" t="s">
        <v>196</v>
      </c>
      <c r="J33" t="s">
        <v>65</v>
      </c>
      <c r="K33">
        <v>71.2</v>
      </c>
      <c r="L33">
        <v>75.3</v>
      </c>
      <c r="M33">
        <v>99.9</v>
      </c>
      <c r="N33">
        <v>10003</v>
      </c>
      <c r="O33">
        <v>129</v>
      </c>
      <c r="P33">
        <v>99.9</v>
      </c>
      <c r="Q33">
        <v>585</v>
      </c>
      <c r="R33">
        <v>318</v>
      </c>
      <c r="S33">
        <v>8.4093872229465405E-2</v>
      </c>
      <c r="T33" t="s">
        <v>96</v>
      </c>
      <c r="U33">
        <v>13562</v>
      </c>
      <c r="V33">
        <v>44</v>
      </c>
      <c r="W33">
        <v>50</v>
      </c>
      <c r="X33">
        <v>1534</v>
      </c>
      <c r="Y33">
        <v>11.9</v>
      </c>
      <c r="Z33" t="s">
        <v>197</v>
      </c>
      <c r="AA33">
        <v>44</v>
      </c>
      <c r="AB33">
        <v>56</v>
      </c>
      <c r="AC33" t="s">
        <v>53</v>
      </c>
      <c r="AD33">
        <v>13143</v>
      </c>
      <c r="AE33">
        <v>3114</v>
      </c>
      <c r="AF33">
        <v>647.61</v>
      </c>
      <c r="AG33">
        <v>98</v>
      </c>
      <c r="AH33">
        <v>2</v>
      </c>
      <c r="AI33">
        <v>56.843244897959181</v>
      </c>
      <c r="AJ33">
        <v>29.74</v>
      </c>
      <c r="AK33">
        <v>38.11</v>
      </c>
      <c r="AL33">
        <v>19.260000000000002</v>
      </c>
      <c r="AM33">
        <v>52</v>
      </c>
      <c r="AN33">
        <v>96.43</v>
      </c>
      <c r="AO33">
        <v>187.14</v>
      </c>
      <c r="AP33">
        <v>11.9</v>
      </c>
      <c r="AQ33">
        <v>44</v>
      </c>
      <c r="AR33">
        <v>73.7</v>
      </c>
    </row>
    <row r="34" spans="1:44" x14ac:dyDescent="0.3">
      <c r="A34">
        <v>33</v>
      </c>
      <c r="B34" t="s">
        <v>198</v>
      </c>
      <c r="C34">
        <v>2024</v>
      </c>
      <c r="D34" t="s">
        <v>199</v>
      </c>
      <c r="E34">
        <v>5</v>
      </c>
      <c r="F34" t="s">
        <v>200</v>
      </c>
      <c r="G34" t="s">
        <v>180</v>
      </c>
      <c r="H34" t="s">
        <v>48</v>
      </c>
      <c r="I34" t="s">
        <v>201</v>
      </c>
      <c r="J34" t="s">
        <v>50</v>
      </c>
      <c r="K34">
        <v>83.6</v>
      </c>
      <c r="L34">
        <v>44.2</v>
      </c>
      <c r="M34">
        <v>98.1</v>
      </c>
      <c r="N34">
        <v>20872</v>
      </c>
      <c r="O34">
        <v>85</v>
      </c>
      <c r="P34">
        <v>98.1</v>
      </c>
      <c r="Q34">
        <v>500</v>
      </c>
      <c r="R34">
        <v>79</v>
      </c>
      <c r="S34">
        <v>1.41666666666666E-2</v>
      </c>
      <c r="T34" t="s">
        <v>71</v>
      </c>
      <c r="U34">
        <v>28649</v>
      </c>
      <c r="V34">
        <v>36</v>
      </c>
      <c r="W34">
        <v>39</v>
      </c>
      <c r="X34">
        <v>6000</v>
      </c>
      <c r="Y34">
        <v>13.2</v>
      </c>
      <c r="Z34" t="s">
        <v>202</v>
      </c>
      <c r="AA34">
        <v>60</v>
      </c>
      <c r="AB34">
        <v>40</v>
      </c>
      <c r="AC34" t="s">
        <v>53</v>
      </c>
      <c r="AD34">
        <v>17832</v>
      </c>
      <c r="AE34">
        <v>13203</v>
      </c>
      <c r="AF34">
        <v>159</v>
      </c>
      <c r="AG34">
        <v>9</v>
      </c>
      <c r="AH34">
        <v>48</v>
      </c>
      <c r="AI34">
        <v>67.177444444444447</v>
      </c>
      <c r="AJ34">
        <v>55.29</v>
      </c>
      <c r="AK34">
        <v>72.84</v>
      </c>
      <c r="AL34">
        <v>31.25</v>
      </c>
      <c r="AM34">
        <v>53</v>
      </c>
      <c r="AN34">
        <v>96.35</v>
      </c>
      <c r="AO34">
        <v>90.46</v>
      </c>
      <c r="AP34">
        <v>13.2</v>
      </c>
      <c r="AQ34">
        <v>36</v>
      </c>
      <c r="AR34">
        <v>73.400000000000006</v>
      </c>
    </row>
    <row r="35" spans="1:44" x14ac:dyDescent="0.3">
      <c r="A35">
        <v>34</v>
      </c>
      <c r="B35" t="s">
        <v>203</v>
      </c>
      <c r="C35">
        <v>2024</v>
      </c>
      <c r="D35" t="s">
        <v>204</v>
      </c>
      <c r="E35">
        <v>7</v>
      </c>
      <c r="F35" t="s">
        <v>205</v>
      </c>
      <c r="G35" t="s">
        <v>47</v>
      </c>
      <c r="H35" t="s">
        <v>48</v>
      </c>
      <c r="I35" t="s">
        <v>206</v>
      </c>
      <c r="J35" t="s">
        <v>50</v>
      </c>
      <c r="K35">
        <v>74.900000000000006</v>
      </c>
      <c r="L35">
        <v>84.7</v>
      </c>
      <c r="M35">
        <v>64.7</v>
      </c>
      <c r="N35">
        <v>8996</v>
      </c>
      <c r="O35">
        <v>85</v>
      </c>
      <c r="P35">
        <v>64.7</v>
      </c>
      <c r="Q35">
        <v>349</v>
      </c>
      <c r="R35">
        <v>126</v>
      </c>
      <c r="S35">
        <v>4.1849244251883E-3</v>
      </c>
      <c r="T35" t="s">
        <v>71</v>
      </c>
      <c r="U35">
        <v>27335</v>
      </c>
      <c r="V35">
        <v>31</v>
      </c>
      <c r="W35">
        <v>35</v>
      </c>
      <c r="X35">
        <v>20311</v>
      </c>
      <c r="Y35">
        <v>14.8</v>
      </c>
      <c r="Z35" t="s">
        <v>146</v>
      </c>
      <c r="AA35">
        <v>56</v>
      </c>
      <c r="AB35">
        <v>44</v>
      </c>
      <c r="AC35" t="s">
        <v>53</v>
      </c>
      <c r="AD35">
        <v>23316</v>
      </c>
      <c r="AE35">
        <v>6364</v>
      </c>
      <c r="AF35">
        <v>614.48</v>
      </c>
      <c r="AG35">
        <v>69</v>
      </c>
      <c r="AH35">
        <v>1</v>
      </c>
      <c r="AI35">
        <v>50.817340579710141</v>
      </c>
      <c r="AJ35">
        <v>35.82</v>
      </c>
      <c r="AK35">
        <v>38.92</v>
      </c>
      <c r="AL35">
        <v>35.29</v>
      </c>
      <c r="AM35">
        <v>55</v>
      </c>
      <c r="AN35">
        <v>96.21</v>
      </c>
      <c r="AO35">
        <v>89.22</v>
      </c>
      <c r="AP35">
        <v>14.8</v>
      </c>
      <c r="AQ35">
        <v>31</v>
      </c>
      <c r="AR35">
        <v>72.400000000000006</v>
      </c>
    </row>
    <row r="36" spans="1:44" x14ac:dyDescent="0.3">
      <c r="A36">
        <v>35</v>
      </c>
      <c r="B36" t="s">
        <v>207</v>
      </c>
      <c r="C36">
        <v>2024</v>
      </c>
      <c r="D36" t="s">
        <v>208</v>
      </c>
      <c r="E36">
        <v>19</v>
      </c>
      <c r="F36" t="s">
        <v>209</v>
      </c>
      <c r="G36" t="s">
        <v>63</v>
      </c>
      <c r="H36" t="s">
        <v>64</v>
      </c>
      <c r="I36" t="s">
        <v>210</v>
      </c>
      <c r="J36" t="s">
        <v>65</v>
      </c>
      <c r="K36">
        <v>85.7</v>
      </c>
      <c r="L36">
        <v>69.3</v>
      </c>
      <c r="M36">
        <v>40.200000000000003</v>
      </c>
      <c r="N36">
        <v>6041</v>
      </c>
      <c r="O36">
        <v>14</v>
      </c>
      <c r="P36">
        <v>40.200000000000003</v>
      </c>
      <c r="Q36">
        <v>144</v>
      </c>
      <c r="R36">
        <v>36</v>
      </c>
      <c r="S36">
        <v>2.4678300722721E-3</v>
      </c>
      <c r="T36" t="s">
        <v>77</v>
      </c>
      <c r="U36">
        <v>15527</v>
      </c>
      <c r="V36">
        <v>18</v>
      </c>
      <c r="W36">
        <v>25</v>
      </c>
      <c r="X36">
        <v>5673</v>
      </c>
      <c r="Y36">
        <v>3.9</v>
      </c>
      <c r="Z36" t="s">
        <v>185</v>
      </c>
      <c r="AA36">
        <v>55</v>
      </c>
      <c r="AB36">
        <v>45</v>
      </c>
      <c r="AC36" t="s">
        <v>53</v>
      </c>
      <c r="AD36">
        <v>13340</v>
      </c>
      <c r="AE36">
        <v>4531</v>
      </c>
      <c r="AF36">
        <v>647.61</v>
      </c>
      <c r="AG36">
        <v>98</v>
      </c>
      <c r="AH36">
        <v>2</v>
      </c>
      <c r="AI36">
        <v>56.843244897959181</v>
      </c>
      <c r="AJ36">
        <v>29.74</v>
      </c>
      <c r="AK36">
        <v>38.11</v>
      </c>
      <c r="AL36">
        <v>19.260000000000002</v>
      </c>
      <c r="AM36">
        <v>57</v>
      </c>
      <c r="AN36">
        <v>96.07</v>
      </c>
      <c r="AO36">
        <v>38.520000000000003</v>
      </c>
      <c r="AP36">
        <v>3.9</v>
      </c>
      <c r="AQ36">
        <v>18</v>
      </c>
      <c r="AR36">
        <v>72</v>
      </c>
    </row>
    <row r="37" spans="1:44" x14ac:dyDescent="0.3">
      <c r="A37">
        <v>36</v>
      </c>
      <c r="B37" t="s">
        <v>211</v>
      </c>
      <c r="C37">
        <v>2024</v>
      </c>
      <c r="D37" t="s">
        <v>212</v>
      </c>
      <c r="E37">
        <v>22</v>
      </c>
      <c r="F37" t="s">
        <v>213</v>
      </c>
      <c r="G37" t="s">
        <v>63</v>
      </c>
      <c r="H37" t="s">
        <v>64</v>
      </c>
      <c r="I37" t="s">
        <v>214</v>
      </c>
      <c r="J37" t="s">
        <v>50</v>
      </c>
      <c r="K37">
        <v>93.5</v>
      </c>
      <c r="L37">
        <v>83.2</v>
      </c>
      <c r="M37">
        <v>86.7</v>
      </c>
      <c r="N37">
        <v>24650</v>
      </c>
      <c r="O37">
        <v>24</v>
      </c>
      <c r="P37">
        <v>86.7</v>
      </c>
      <c r="Q37">
        <v>411</v>
      </c>
      <c r="R37">
        <v>73</v>
      </c>
      <c r="S37">
        <v>8.3131278143401006E-3</v>
      </c>
      <c r="T37" t="s">
        <v>77</v>
      </c>
      <c r="U37">
        <v>48558</v>
      </c>
      <c r="V37">
        <v>8</v>
      </c>
      <c r="W37">
        <v>10</v>
      </c>
      <c r="X37">
        <v>2887</v>
      </c>
      <c r="Y37">
        <v>16.399999999999999</v>
      </c>
      <c r="Z37" t="s">
        <v>146</v>
      </c>
      <c r="AA37">
        <v>56</v>
      </c>
      <c r="AB37">
        <v>44</v>
      </c>
      <c r="AC37" t="s">
        <v>53</v>
      </c>
      <c r="AD37">
        <v>37114</v>
      </c>
      <c r="AE37">
        <v>14044</v>
      </c>
      <c r="AF37">
        <v>647.61</v>
      </c>
      <c r="AG37">
        <v>98</v>
      </c>
      <c r="AH37">
        <v>2</v>
      </c>
      <c r="AI37">
        <v>56.843244897959181</v>
      </c>
      <c r="AJ37">
        <v>29.74</v>
      </c>
      <c r="AK37">
        <v>38.11</v>
      </c>
      <c r="AL37">
        <v>19.260000000000002</v>
      </c>
      <c r="AM37">
        <v>58</v>
      </c>
      <c r="AN37">
        <v>96</v>
      </c>
      <c r="AO37">
        <v>81.22</v>
      </c>
      <c r="AP37">
        <v>16.399999999999999</v>
      </c>
      <c r="AQ37">
        <v>8</v>
      </c>
      <c r="AR37">
        <v>71.8</v>
      </c>
    </row>
    <row r="38" spans="1:44" x14ac:dyDescent="0.3">
      <c r="A38">
        <v>37</v>
      </c>
      <c r="B38" t="s">
        <v>215</v>
      </c>
      <c r="C38">
        <v>2024</v>
      </c>
      <c r="D38" t="s">
        <v>216</v>
      </c>
      <c r="E38">
        <v>1</v>
      </c>
      <c r="F38" t="s">
        <v>217</v>
      </c>
      <c r="G38" t="s">
        <v>155</v>
      </c>
      <c r="H38" t="s">
        <v>48</v>
      </c>
      <c r="I38" t="s">
        <v>155</v>
      </c>
      <c r="J38" t="s">
        <v>50</v>
      </c>
      <c r="K38">
        <v>88.6</v>
      </c>
      <c r="L38">
        <v>53.2</v>
      </c>
      <c r="M38">
        <v>85.4</v>
      </c>
      <c r="N38">
        <v>13690</v>
      </c>
      <c r="O38">
        <v>22</v>
      </c>
      <c r="P38">
        <v>85.4</v>
      </c>
      <c r="Q38">
        <v>403</v>
      </c>
      <c r="R38">
        <v>6</v>
      </c>
      <c r="S38">
        <v>4.7008547008546998E-3</v>
      </c>
      <c r="T38" t="s">
        <v>51</v>
      </c>
      <c r="U38">
        <v>41527</v>
      </c>
      <c r="V38">
        <v>22</v>
      </c>
      <c r="W38">
        <v>23</v>
      </c>
      <c r="X38">
        <v>4680</v>
      </c>
      <c r="Y38">
        <v>14.5</v>
      </c>
      <c r="Z38" t="s">
        <v>202</v>
      </c>
      <c r="AA38">
        <v>61</v>
      </c>
      <c r="AB38">
        <v>39</v>
      </c>
      <c r="AC38" t="s">
        <v>53</v>
      </c>
      <c r="AD38">
        <v>25981</v>
      </c>
      <c r="AE38">
        <v>12942</v>
      </c>
      <c r="AF38">
        <v>858.67</v>
      </c>
      <c r="AG38">
        <v>9</v>
      </c>
      <c r="AH38">
        <v>58</v>
      </c>
      <c r="AI38">
        <v>54.703833333333343</v>
      </c>
      <c r="AJ38">
        <v>33.89</v>
      </c>
      <c r="AK38">
        <v>35.92</v>
      </c>
      <c r="AL38">
        <v>20.8</v>
      </c>
      <c r="AM38">
        <v>59</v>
      </c>
      <c r="AN38">
        <v>95.93</v>
      </c>
      <c r="AO38">
        <v>53.64</v>
      </c>
      <c r="AP38">
        <v>14.5</v>
      </c>
      <c r="AQ38">
        <v>22</v>
      </c>
      <c r="AR38">
        <v>71.7</v>
      </c>
    </row>
    <row r="39" spans="1:44" x14ac:dyDescent="0.3">
      <c r="A39">
        <v>38</v>
      </c>
      <c r="B39" t="s">
        <v>218</v>
      </c>
      <c r="C39">
        <v>2024</v>
      </c>
      <c r="D39" t="s">
        <v>219</v>
      </c>
      <c r="E39">
        <v>3</v>
      </c>
      <c r="F39" t="s">
        <v>220</v>
      </c>
      <c r="G39" t="s">
        <v>221</v>
      </c>
      <c r="H39" t="s">
        <v>100</v>
      </c>
      <c r="I39" t="s">
        <v>222</v>
      </c>
      <c r="J39" t="s">
        <v>50</v>
      </c>
      <c r="K39">
        <v>83.3</v>
      </c>
      <c r="L39">
        <v>42.6</v>
      </c>
      <c r="M39">
        <v>99.1</v>
      </c>
      <c r="N39">
        <v>4168</v>
      </c>
      <c r="O39">
        <v>112952</v>
      </c>
      <c r="P39">
        <v>99.1</v>
      </c>
      <c r="Q39">
        <v>315</v>
      </c>
      <c r="R39">
        <v>94.7</v>
      </c>
      <c r="S39">
        <v>2.86</v>
      </c>
      <c r="T39" t="s">
        <v>77</v>
      </c>
      <c r="U39">
        <v>9794</v>
      </c>
      <c r="V39">
        <v>30</v>
      </c>
      <c r="W39">
        <v>48</v>
      </c>
      <c r="X39">
        <v>697</v>
      </c>
      <c r="Y39">
        <v>19.899999999999999</v>
      </c>
      <c r="Z39" t="s">
        <v>87</v>
      </c>
      <c r="AA39">
        <v>54.261341090000002</v>
      </c>
      <c r="AB39">
        <v>45.738658909999998</v>
      </c>
      <c r="AC39" t="s">
        <v>53</v>
      </c>
      <c r="AD39">
        <v>6662</v>
      </c>
      <c r="AE39">
        <v>2250</v>
      </c>
      <c r="AF39">
        <v>274.33</v>
      </c>
      <c r="AG39">
        <v>3</v>
      </c>
      <c r="AH39">
        <v>65</v>
      </c>
      <c r="AI39">
        <v>64.662999999999997</v>
      </c>
      <c r="AJ39">
        <v>57.76</v>
      </c>
      <c r="AK39">
        <v>71.59</v>
      </c>
      <c r="AL39">
        <v>39.909999999999997</v>
      </c>
      <c r="AM39">
        <v>60</v>
      </c>
      <c r="AN39">
        <v>95.85</v>
      </c>
      <c r="AO39">
        <v>97.34</v>
      </c>
      <c r="AP39">
        <v>19.899999999999999</v>
      </c>
      <c r="AQ39">
        <v>30</v>
      </c>
      <c r="AR39">
        <v>71.099999999999994</v>
      </c>
    </row>
    <row r="40" spans="1:44" x14ac:dyDescent="0.3">
      <c r="A40">
        <v>39</v>
      </c>
      <c r="B40" t="s">
        <v>223</v>
      </c>
      <c r="C40">
        <v>2024</v>
      </c>
      <c r="D40" t="s">
        <v>224</v>
      </c>
      <c r="E40">
        <v>2</v>
      </c>
      <c r="F40" t="s">
        <v>225</v>
      </c>
      <c r="G40" t="s">
        <v>226</v>
      </c>
      <c r="H40" t="s">
        <v>48</v>
      </c>
      <c r="I40" t="s">
        <v>227</v>
      </c>
      <c r="J40" t="s">
        <v>50</v>
      </c>
      <c r="K40">
        <v>84.6</v>
      </c>
      <c r="L40">
        <v>42.4</v>
      </c>
      <c r="M40">
        <v>92.7</v>
      </c>
      <c r="N40">
        <v>19739</v>
      </c>
      <c r="O40">
        <v>66</v>
      </c>
      <c r="P40">
        <v>92.7</v>
      </c>
      <c r="Q40">
        <v>557</v>
      </c>
      <c r="R40">
        <v>48</v>
      </c>
      <c r="S40">
        <v>2.46544639521852E-2</v>
      </c>
      <c r="T40" t="s">
        <v>58</v>
      </c>
      <c r="U40">
        <v>49435</v>
      </c>
      <c r="V40">
        <v>19</v>
      </c>
      <c r="W40">
        <v>21</v>
      </c>
      <c r="X40">
        <v>2677</v>
      </c>
      <c r="Y40">
        <v>37.299999999999997</v>
      </c>
      <c r="Z40" t="s">
        <v>185</v>
      </c>
      <c r="AA40">
        <v>52</v>
      </c>
      <c r="AB40">
        <v>48</v>
      </c>
      <c r="AC40" t="s">
        <v>53</v>
      </c>
      <c r="AD40">
        <v>38138</v>
      </c>
      <c r="AE40">
        <v>12198</v>
      </c>
      <c r="AF40">
        <v>374.09</v>
      </c>
      <c r="AG40">
        <v>3</v>
      </c>
      <c r="AH40">
        <v>45</v>
      </c>
      <c r="AI40">
        <v>68.016833333333338</v>
      </c>
      <c r="AJ40">
        <v>40.93</v>
      </c>
      <c r="AK40">
        <v>51.76</v>
      </c>
      <c r="AL40">
        <v>20.190000000000001</v>
      </c>
      <c r="AM40">
        <v>61</v>
      </c>
      <c r="AN40">
        <v>95.78</v>
      </c>
      <c r="AO40">
        <v>74.819999999999993</v>
      </c>
      <c r="AP40">
        <v>37.299999999999997</v>
      </c>
      <c r="AQ40">
        <v>19</v>
      </c>
      <c r="AR40">
        <v>70.099999999999994</v>
      </c>
    </row>
    <row r="41" spans="1:44" x14ac:dyDescent="0.3">
      <c r="A41">
        <v>40</v>
      </c>
      <c r="B41" t="s">
        <v>228</v>
      </c>
      <c r="C41">
        <v>2024</v>
      </c>
      <c r="D41" t="s">
        <v>229</v>
      </c>
      <c r="E41">
        <v>23</v>
      </c>
      <c r="F41" t="s">
        <v>230</v>
      </c>
      <c r="G41" t="s">
        <v>63</v>
      </c>
      <c r="H41" t="s">
        <v>64</v>
      </c>
      <c r="I41" t="s">
        <v>231</v>
      </c>
      <c r="J41" t="s">
        <v>50</v>
      </c>
      <c r="K41">
        <v>84</v>
      </c>
      <c r="L41">
        <v>50.4</v>
      </c>
      <c r="M41">
        <v>93.5</v>
      </c>
      <c r="N41">
        <v>21367</v>
      </c>
      <c r="O41">
        <v>240173</v>
      </c>
      <c r="P41">
        <v>93.5</v>
      </c>
      <c r="Q41">
        <v>538</v>
      </c>
      <c r="R41">
        <v>79.599999999999994</v>
      </c>
      <c r="S41">
        <v>6.77</v>
      </c>
      <c r="T41" t="s">
        <v>51</v>
      </c>
      <c r="U41">
        <v>49486</v>
      </c>
      <c r="V41">
        <v>16</v>
      </c>
      <c r="W41">
        <v>18</v>
      </c>
      <c r="X41">
        <v>2796</v>
      </c>
      <c r="Y41">
        <v>10.1</v>
      </c>
      <c r="Z41" t="s">
        <v>116</v>
      </c>
      <c r="AA41">
        <v>57</v>
      </c>
      <c r="AB41">
        <v>43</v>
      </c>
      <c r="AC41" t="s">
        <v>53</v>
      </c>
      <c r="AD41">
        <v>30971</v>
      </c>
      <c r="AE41">
        <v>18553</v>
      </c>
      <c r="AF41">
        <v>647.61</v>
      </c>
      <c r="AG41">
        <v>98</v>
      </c>
      <c r="AH41">
        <v>2</v>
      </c>
      <c r="AI41">
        <v>56.843244897959181</v>
      </c>
      <c r="AJ41">
        <v>29.74</v>
      </c>
      <c r="AK41">
        <v>38.11</v>
      </c>
      <c r="AL41">
        <v>19.260000000000002</v>
      </c>
      <c r="AM41">
        <v>63</v>
      </c>
      <c r="AN41">
        <v>95.64</v>
      </c>
      <c r="AO41">
        <v>87.94</v>
      </c>
      <c r="AP41">
        <v>10.1</v>
      </c>
      <c r="AQ41">
        <v>16</v>
      </c>
      <c r="AR41">
        <v>69.2</v>
      </c>
    </row>
    <row r="42" spans="1:44" x14ac:dyDescent="0.3">
      <c r="A42">
        <v>41</v>
      </c>
      <c r="B42" t="s">
        <v>232</v>
      </c>
      <c r="C42">
        <v>2024</v>
      </c>
      <c r="D42" t="s">
        <v>233</v>
      </c>
      <c r="E42">
        <v>22</v>
      </c>
      <c r="F42" t="s">
        <v>234</v>
      </c>
      <c r="G42" t="s">
        <v>63</v>
      </c>
      <c r="H42" t="s">
        <v>64</v>
      </c>
      <c r="I42" t="s">
        <v>235</v>
      </c>
      <c r="J42" t="s">
        <v>50</v>
      </c>
      <c r="K42">
        <v>85</v>
      </c>
      <c r="L42">
        <v>70.8</v>
      </c>
      <c r="M42">
        <v>86.5</v>
      </c>
      <c r="N42">
        <v>11534</v>
      </c>
      <c r="O42">
        <v>219154</v>
      </c>
      <c r="P42">
        <v>86.5</v>
      </c>
      <c r="Q42">
        <v>537</v>
      </c>
      <c r="R42">
        <v>86.6</v>
      </c>
      <c r="S42">
        <v>3.89</v>
      </c>
      <c r="T42" t="s">
        <v>96</v>
      </c>
      <c r="U42">
        <v>50250</v>
      </c>
      <c r="V42">
        <v>23</v>
      </c>
      <c r="W42">
        <v>23</v>
      </c>
      <c r="X42">
        <v>2748</v>
      </c>
      <c r="Y42">
        <v>19.600000000000001</v>
      </c>
      <c r="Z42" t="s">
        <v>66</v>
      </c>
      <c r="AA42">
        <v>47</v>
      </c>
      <c r="AB42">
        <v>53</v>
      </c>
      <c r="AC42" t="s">
        <v>53</v>
      </c>
      <c r="AD42">
        <v>43904</v>
      </c>
      <c r="AE42">
        <v>6736</v>
      </c>
      <c r="AF42">
        <v>647.61</v>
      </c>
      <c r="AG42">
        <v>98</v>
      </c>
      <c r="AH42">
        <v>2</v>
      </c>
      <c r="AI42">
        <v>56.843244897959181</v>
      </c>
      <c r="AJ42">
        <v>29.74</v>
      </c>
      <c r="AK42">
        <v>38.11</v>
      </c>
      <c r="AL42">
        <v>19.260000000000002</v>
      </c>
      <c r="AM42">
        <v>64</v>
      </c>
      <c r="AN42">
        <v>95.57</v>
      </c>
      <c r="AO42">
        <v>86.54</v>
      </c>
      <c r="AP42">
        <v>19.600000000000001</v>
      </c>
      <c r="AQ42">
        <v>23</v>
      </c>
      <c r="AR42">
        <v>69.099999999999994</v>
      </c>
    </row>
    <row r="43" spans="1:44" x14ac:dyDescent="0.3">
      <c r="A43">
        <v>42</v>
      </c>
      <c r="B43" t="s">
        <v>236</v>
      </c>
      <c r="C43">
        <v>2024</v>
      </c>
      <c r="D43" t="s">
        <v>237</v>
      </c>
      <c r="E43">
        <v>1</v>
      </c>
      <c r="F43" t="s">
        <v>238</v>
      </c>
      <c r="G43" t="s">
        <v>239</v>
      </c>
      <c r="H43" t="s">
        <v>100</v>
      </c>
      <c r="I43" t="s">
        <v>240</v>
      </c>
      <c r="J43" t="s">
        <v>50</v>
      </c>
      <c r="K43">
        <v>92.8</v>
      </c>
      <c r="L43">
        <v>91.3</v>
      </c>
      <c r="M43">
        <v>47</v>
      </c>
      <c r="N43">
        <v>5325</v>
      </c>
      <c r="O43">
        <v>100820</v>
      </c>
      <c r="P43">
        <v>47</v>
      </c>
      <c r="Q43">
        <v>319</v>
      </c>
      <c r="R43">
        <v>84.3</v>
      </c>
      <c r="S43">
        <v>3.97</v>
      </c>
      <c r="T43" t="s">
        <v>51</v>
      </c>
      <c r="U43">
        <v>24744</v>
      </c>
      <c r="V43">
        <v>13</v>
      </c>
      <c r="W43">
        <v>24</v>
      </c>
      <c r="X43">
        <v>2939</v>
      </c>
      <c r="Y43">
        <v>11.1</v>
      </c>
      <c r="Z43" t="s">
        <v>241</v>
      </c>
      <c r="AA43">
        <v>44</v>
      </c>
      <c r="AB43">
        <v>56</v>
      </c>
      <c r="AC43" t="s">
        <v>53</v>
      </c>
      <c r="AD43">
        <v>12096</v>
      </c>
      <c r="AE43">
        <v>6647</v>
      </c>
      <c r="AF43">
        <v>1161.4000000000001</v>
      </c>
      <c r="AG43">
        <v>22</v>
      </c>
      <c r="AH43">
        <v>154</v>
      </c>
      <c r="AI43">
        <v>33.419431818181813</v>
      </c>
      <c r="AJ43">
        <v>25.98</v>
      </c>
      <c r="AK43">
        <v>28.31</v>
      </c>
      <c r="AL43">
        <v>8.91</v>
      </c>
      <c r="AM43">
        <v>69</v>
      </c>
      <c r="AN43">
        <v>95.21</v>
      </c>
      <c r="AO43">
        <v>61.92</v>
      </c>
      <c r="AP43">
        <v>11.1</v>
      </c>
      <c r="AQ43">
        <v>13</v>
      </c>
      <c r="AR43">
        <v>67.900000000000006</v>
      </c>
    </row>
    <row r="44" spans="1:44" x14ac:dyDescent="0.3">
      <c r="A44">
        <v>43</v>
      </c>
      <c r="B44" t="s">
        <v>242</v>
      </c>
      <c r="C44">
        <v>2024</v>
      </c>
      <c r="D44" t="s">
        <v>243</v>
      </c>
      <c r="E44">
        <v>5</v>
      </c>
      <c r="F44" t="s">
        <v>244</v>
      </c>
      <c r="G44" t="s">
        <v>221</v>
      </c>
      <c r="H44" t="s">
        <v>100</v>
      </c>
      <c r="I44" t="s">
        <v>222</v>
      </c>
      <c r="J44" t="s">
        <v>50</v>
      </c>
      <c r="K44">
        <v>59.6</v>
      </c>
      <c r="L44">
        <v>27.3</v>
      </c>
      <c r="M44">
        <v>99.9</v>
      </c>
      <c r="N44">
        <v>2509</v>
      </c>
      <c r="O44">
        <v>327</v>
      </c>
      <c r="P44">
        <v>99.9</v>
      </c>
      <c r="Q44">
        <v>236</v>
      </c>
      <c r="R44">
        <v>262</v>
      </c>
      <c r="S44">
        <v>0.22049898853674979</v>
      </c>
      <c r="T44" t="s">
        <v>71</v>
      </c>
      <c r="U44">
        <v>9076</v>
      </c>
      <c r="V44">
        <v>67</v>
      </c>
      <c r="W44">
        <v>76</v>
      </c>
      <c r="X44">
        <v>1483</v>
      </c>
      <c r="Y44">
        <v>13.2</v>
      </c>
      <c r="Z44" t="s">
        <v>87</v>
      </c>
      <c r="AA44">
        <v>54</v>
      </c>
      <c r="AB44">
        <v>46</v>
      </c>
      <c r="AC44" t="s">
        <v>53</v>
      </c>
      <c r="AD44">
        <v>5543</v>
      </c>
      <c r="AE44">
        <v>2676</v>
      </c>
      <c r="AF44">
        <v>274.33</v>
      </c>
      <c r="AG44">
        <v>3</v>
      </c>
      <c r="AH44">
        <v>65</v>
      </c>
      <c r="AI44">
        <v>64.662999999999997</v>
      </c>
      <c r="AJ44">
        <v>57.76</v>
      </c>
      <c r="AK44">
        <v>71.59</v>
      </c>
      <c r="AL44">
        <v>39.909999999999997</v>
      </c>
      <c r="AM44">
        <v>70</v>
      </c>
      <c r="AN44">
        <v>95.14</v>
      </c>
      <c r="AO44">
        <v>164.74</v>
      </c>
      <c r="AP44">
        <v>13.2</v>
      </c>
      <c r="AQ44">
        <v>67</v>
      </c>
      <c r="AR44">
        <v>67.7</v>
      </c>
    </row>
    <row r="45" spans="1:44" x14ac:dyDescent="0.3">
      <c r="A45">
        <v>44</v>
      </c>
      <c r="B45" t="s">
        <v>245</v>
      </c>
      <c r="C45">
        <v>2024</v>
      </c>
      <c r="D45" t="s">
        <v>246</v>
      </c>
      <c r="E45">
        <v>4</v>
      </c>
      <c r="F45" t="s">
        <v>247</v>
      </c>
      <c r="G45" t="s">
        <v>155</v>
      </c>
      <c r="H45" t="s">
        <v>48</v>
      </c>
      <c r="I45" t="s">
        <v>155</v>
      </c>
      <c r="J45" t="s">
        <v>50</v>
      </c>
      <c r="K45">
        <v>58.9</v>
      </c>
      <c r="L45">
        <v>99.1</v>
      </c>
      <c r="M45">
        <v>45.8</v>
      </c>
      <c r="N45">
        <v>10268</v>
      </c>
      <c r="O45">
        <v>132024</v>
      </c>
      <c r="P45">
        <v>45.8</v>
      </c>
      <c r="Q45">
        <v>368</v>
      </c>
      <c r="R45">
        <v>58.8</v>
      </c>
      <c r="S45">
        <v>3.65</v>
      </c>
      <c r="T45" t="s">
        <v>77</v>
      </c>
      <c r="U45">
        <v>31662</v>
      </c>
      <c r="V45">
        <v>24</v>
      </c>
      <c r="W45">
        <v>25</v>
      </c>
      <c r="X45">
        <v>8010</v>
      </c>
      <c r="Y45">
        <v>13</v>
      </c>
      <c r="Z45" t="s">
        <v>133</v>
      </c>
      <c r="AA45">
        <v>50</v>
      </c>
      <c r="AB45">
        <v>50</v>
      </c>
      <c r="AC45" t="s">
        <v>53</v>
      </c>
      <c r="AD45">
        <v>21172</v>
      </c>
      <c r="AE45">
        <v>11635</v>
      </c>
      <c r="AF45">
        <v>858.67</v>
      </c>
      <c r="AG45">
        <v>9</v>
      </c>
      <c r="AH45">
        <v>58</v>
      </c>
      <c r="AI45">
        <v>54.703833333333343</v>
      </c>
      <c r="AJ45">
        <v>33.89</v>
      </c>
      <c r="AK45">
        <v>35.92</v>
      </c>
      <c r="AL45">
        <v>20.8</v>
      </c>
      <c r="AM45">
        <v>71</v>
      </c>
      <c r="AN45">
        <v>95.07</v>
      </c>
      <c r="AO45">
        <v>51</v>
      </c>
      <c r="AP45">
        <v>13</v>
      </c>
      <c r="AQ45">
        <v>24</v>
      </c>
      <c r="AR45">
        <v>67.599999999999994</v>
      </c>
    </row>
    <row r="46" spans="1:44" x14ac:dyDescent="0.3">
      <c r="A46">
        <v>45</v>
      </c>
      <c r="B46" t="s">
        <v>248</v>
      </c>
      <c r="C46">
        <v>2024</v>
      </c>
      <c r="D46" t="s">
        <v>249</v>
      </c>
      <c r="E46">
        <v>8</v>
      </c>
      <c r="F46" t="s">
        <v>250</v>
      </c>
      <c r="G46" t="s">
        <v>107</v>
      </c>
      <c r="H46" t="s">
        <v>108</v>
      </c>
      <c r="I46" t="s">
        <v>251</v>
      </c>
      <c r="J46" t="s">
        <v>50</v>
      </c>
      <c r="K46">
        <v>56.2</v>
      </c>
      <c r="L46">
        <v>44.6</v>
      </c>
      <c r="M46">
        <v>98.9</v>
      </c>
      <c r="N46">
        <v>7612</v>
      </c>
      <c r="O46">
        <v>186793</v>
      </c>
      <c r="P46">
        <v>98.9</v>
      </c>
      <c r="Q46">
        <v>476</v>
      </c>
      <c r="R46">
        <v>84.1</v>
      </c>
      <c r="S46">
        <v>3.73</v>
      </c>
      <c r="T46" t="s">
        <v>96</v>
      </c>
      <c r="U46">
        <v>19382</v>
      </c>
      <c r="V46">
        <v>26</v>
      </c>
      <c r="W46">
        <v>30</v>
      </c>
      <c r="X46">
        <v>1539</v>
      </c>
      <c r="Y46">
        <v>22.4</v>
      </c>
      <c r="Z46" t="s">
        <v>133</v>
      </c>
      <c r="AA46">
        <v>51</v>
      </c>
      <c r="AB46">
        <v>49</v>
      </c>
      <c r="AC46" t="s">
        <v>53</v>
      </c>
      <c r="AD46">
        <v>14949</v>
      </c>
      <c r="AE46">
        <v>4931</v>
      </c>
      <c r="AF46">
        <v>373.87</v>
      </c>
      <c r="AG46">
        <v>21</v>
      </c>
      <c r="AH46">
        <v>54</v>
      </c>
      <c r="AI46">
        <v>57.368190476190478</v>
      </c>
      <c r="AJ46">
        <v>42.18</v>
      </c>
      <c r="AK46">
        <v>66.97</v>
      </c>
      <c r="AL46">
        <v>30.67</v>
      </c>
      <c r="AM46">
        <v>72</v>
      </c>
      <c r="AN46">
        <v>95</v>
      </c>
      <c r="AO46">
        <v>92.98</v>
      </c>
      <c r="AP46">
        <v>22.4</v>
      </c>
      <c r="AQ46">
        <v>26</v>
      </c>
      <c r="AR46">
        <v>66.900000000000006</v>
      </c>
    </row>
    <row r="47" spans="1:44" x14ac:dyDescent="0.3">
      <c r="A47">
        <v>46</v>
      </c>
      <c r="B47" t="s">
        <v>252</v>
      </c>
      <c r="C47">
        <v>2024</v>
      </c>
      <c r="D47">
        <f>73</f>
        <v>73</v>
      </c>
      <c r="E47">
        <v>36</v>
      </c>
      <c r="F47" t="s">
        <v>253</v>
      </c>
      <c r="G47" t="s">
        <v>63</v>
      </c>
      <c r="H47" t="s">
        <v>64</v>
      </c>
      <c r="I47" t="s">
        <v>254</v>
      </c>
      <c r="J47" t="s">
        <v>65</v>
      </c>
      <c r="K47">
        <v>58.3</v>
      </c>
      <c r="L47">
        <v>42.4</v>
      </c>
      <c r="M47">
        <v>85.9</v>
      </c>
      <c r="N47">
        <v>9486</v>
      </c>
      <c r="O47">
        <v>80</v>
      </c>
      <c r="P47">
        <v>85.9</v>
      </c>
      <c r="Q47">
        <v>327</v>
      </c>
      <c r="R47">
        <v>186</v>
      </c>
      <c r="S47">
        <v>5.7595392368610498E-2</v>
      </c>
      <c r="T47" t="s">
        <v>77</v>
      </c>
      <c r="U47">
        <v>9781</v>
      </c>
      <c r="V47">
        <v>19</v>
      </c>
      <c r="W47">
        <v>22</v>
      </c>
      <c r="X47">
        <v>1389</v>
      </c>
      <c r="Y47">
        <v>10.3</v>
      </c>
      <c r="Z47" t="s">
        <v>197</v>
      </c>
      <c r="AA47">
        <v>43.613101559999997</v>
      </c>
      <c r="AB47">
        <v>56.386898440000003</v>
      </c>
      <c r="AC47" t="s">
        <v>53</v>
      </c>
      <c r="AD47">
        <v>7309</v>
      </c>
      <c r="AE47">
        <v>3578</v>
      </c>
      <c r="AF47">
        <v>647.61</v>
      </c>
      <c r="AG47">
        <v>98</v>
      </c>
      <c r="AH47">
        <v>2</v>
      </c>
      <c r="AI47">
        <v>56.843244897959181</v>
      </c>
      <c r="AJ47">
        <v>29.74</v>
      </c>
      <c r="AK47">
        <v>38.11</v>
      </c>
      <c r="AL47">
        <v>19.260000000000002</v>
      </c>
      <c r="AM47">
        <v>73</v>
      </c>
      <c r="AN47">
        <v>94.92</v>
      </c>
      <c r="AO47">
        <v>125.94</v>
      </c>
      <c r="AP47">
        <v>10.3</v>
      </c>
      <c r="AQ47">
        <v>19</v>
      </c>
      <c r="AR47">
        <v>66.400000000000006</v>
      </c>
    </row>
    <row r="48" spans="1:44" x14ac:dyDescent="0.3">
      <c r="A48">
        <v>47</v>
      </c>
      <c r="B48" t="s">
        <v>255</v>
      </c>
      <c r="C48">
        <v>2024</v>
      </c>
      <c r="D48" t="s">
        <v>256</v>
      </c>
      <c r="E48">
        <v>15</v>
      </c>
      <c r="F48" t="s">
        <v>257</v>
      </c>
      <c r="G48" t="s">
        <v>47</v>
      </c>
      <c r="H48" t="s">
        <v>48</v>
      </c>
      <c r="I48" t="s">
        <v>258</v>
      </c>
      <c r="J48" t="s">
        <v>50</v>
      </c>
      <c r="K48">
        <v>70.3</v>
      </c>
      <c r="L48">
        <v>76.7</v>
      </c>
      <c r="M48">
        <v>42.3</v>
      </c>
      <c r="N48">
        <v>11481</v>
      </c>
      <c r="O48">
        <v>139</v>
      </c>
      <c r="P48">
        <v>42.3</v>
      </c>
      <c r="Q48">
        <v>341</v>
      </c>
      <c r="R48">
        <v>150</v>
      </c>
      <c r="S48">
        <v>3.8686334539382097E-2</v>
      </c>
      <c r="T48" t="s">
        <v>77</v>
      </c>
      <c r="U48">
        <v>33450</v>
      </c>
      <c r="V48">
        <v>32</v>
      </c>
      <c r="W48">
        <v>39</v>
      </c>
      <c r="X48">
        <v>3593</v>
      </c>
      <c r="Y48">
        <v>14.4</v>
      </c>
      <c r="Z48" t="s">
        <v>82</v>
      </c>
      <c r="AA48">
        <v>60</v>
      </c>
      <c r="AB48">
        <v>40</v>
      </c>
      <c r="AC48" t="s">
        <v>53</v>
      </c>
      <c r="AD48">
        <v>23475</v>
      </c>
      <c r="AE48">
        <v>12125</v>
      </c>
      <c r="AF48">
        <v>614.48</v>
      </c>
      <c r="AG48">
        <v>69</v>
      </c>
      <c r="AH48">
        <v>1</v>
      </c>
      <c r="AI48">
        <v>50.817340579710141</v>
      </c>
      <c r="AJ48">
        <v>35.82</v>
      </c>
      <c r="AK48">
        <v>38.92</v>
      </c>
      <c r="AL48">
        <v>35.29</v>
      </c>
      <c r="AM48">
        <v>75</v>
      </c>
      <c r="AN48">
        <v>94.78</v>
      </c>
      <c r="AO48">
        <v>85.38</v>
      </c>
      <c r="AP48">
        <v>14.4</v>
      </c>
      <c r="AQ48">
        <v>32</v>
      </c>
      <c r="AR48">
        <v>65.5</v>
      </c>
    </row>
    <row r="49" spans="1:44" x14ac:dyDescent="0.3">
      <c r="A49">
        <v>48</v>
      </c>
      <c r="B49" t="s">
        <v>259</v>
      </c>
      <c r="C49">
        <v>2024</v>
      </c>
      <c r="D49">
        <f>76</f>
        <v>76</v>
      </c>
      <c r="E49">
        <v>12</v>
      </c>
      <c r="F49" t="s">
        <v>260</v>
      </c>
      <c r="G49" t="s">
        <v>47</v>
      </c>
      <c r="H49" t="s">
        <v>48</v>
      </c>
      <c r="I49" t="s">
        <v>261</v>
      </c>
      <c r="J49" t="s">
        <v>50</v>
      </c>
      <c r="K49">
        <v>76.3</v>
      </c>
      <c r="L49">
        <v>70.7</v>
      </c>
      <c r="M49">
        <v>31.8</v>
      </c>
      <c r="N49">
        <v>11988</v>
      </c>
      <c r="O49">
        <v>114</v>
      </c>
      <c r="P49">
        <v>31.8</v>
      </c>
      <c r="Q49">
        <v>285</v>
      </c>
      <c r="R49">
        <v>165</v>
      </c>
      <c r="S49">
        <v>3.4399517199758603E-2</v>
      </c>
      <c r="T49" t="s">
        <v>51</v>
      </c>
      <c r="U49">
        <v>32270</v>
      </c>
      <c r="V49">
        <v>43</v>
      </c>
      <c r="W49">
        <v>45</v>
      </c>
      <c r="X49">
        <v>3314</v>
      </c>
      <c r="Y49">
        <v>14.4</v>
      </c>
      <c r="Z49" t="s">
        <v>82</v>
      </c>
      <c r="AA49">
        <v>60</v>
      </c>
      <c r="AB49">
        <v>40</v>
      </c>
      <c r="AC49" t="s">
        <v>53</v>
      </c>
      <c r="AD49">
        <v>23029</v>
      </c>
      <c r="AE49">
        <v>11046</v>
      </c>
      <c r="AF49">
        <v>614.48</v>
      </c>
      <c r="AG49">
        <v>69</v>
      </c>
      <c r="AH49">
        <v>1</v>
      </c>
      <c r="AI49">
        <v>50.817340579710141</v>
      </c>
      <c r="AJ49">
        <v>35.82</v>
      </c>
      <c r="AK49">
        <v>38.92</v>
      </c>
      <c r="AL49">
        <v>35.29</v>
      </c>
      <c r="AM49">
        <v>76</v>
      </c>
      <c r="AN49">
        <v>94.71</v>
      </c>
      <c r="AO49">
        <v>85.08</v>
      </c>
      <c r="AP49">
        <v>14.4</v>
      </c>
      <c r="AQ49">
        <v>43</v>
      </c>
      <c r="AR49">
        <v>65.2</v>
      </c>
    </row>
    <row r="50" spans="1:44" x14ac:dyDescent="0.3">
      <c r="A50">
        <v>49</v>
      </c>
      <c r="B50" t="s">
        <v>262</v>
      </c>
      <c r="C50">
        <v>2024</v>
      </c>
      <c r="D50" t="s">
        <v>263</v>
      </c>
      <c r="E50">
        <v>20</v>
      </c>
      <c r="F50" t="s">
        <v>264</v>
      </c>
      <c r="G50" t="s">
        <v>47</v>
      </c>
      <c r="H50" t="s">
        <v>48</v>
      </c>
      <c r="I50" t="s">
        <v>210</v>
      </c>
      <c r="J50" t="s">
        <v>50</v>
      </c>
      <c r="K50">
        <v>59.5</v>
      </c>
      <c r="L50">
        <v>89.3</v>
      </c>
      <c r="M50">
        <v>53.3</v>
      </c>
      <c r="N50">
        <v>7410</v>
      </c>
      <c r="O50">
        <v>240</v>
      </c>
      <c r="P50">
        <v>53.3</v>
      </c>
      <c r="Q50">
        <v>238</v>
      </c>
      <c r="R50">
        <v>327</v>
      </c>
      <c r="S50">
        <v>0.13521126760563379</v>
      </c>
      <c r="T50" t="s">
        <v>58</v>
      </c>
      <c r="U50">
        <v>19575</v>
      </c>
      <c r="V50">
        <v>32</v>
      </c>
      <c r="W50">
        <v>34</v>
      </c>
      <c r="X50">
        <v>1775</v>
      </c>
      <c r="Y50">
        <v>14</v>
      </c>
      <c r="Z50" t="s">
        <v>87</v>
      </c>
      <c r="AA50">
        <v>54</v>
      </c>
      <c r="AB50">
        <v>46</v>
      </c>
      <c r="AC50" t="s">
        <v>53</v>
      </c>
      <c r="AD50">
        <v>15437</v>
      </c>
      <c r="AE50">
        <v>6033</v>
      </c>
      <c r="AF50">
        <v>614.48</v>
      </c>
      <c r="AG50">
        <v>69</v>
      </c>
      <c r="AH50">
        <v>1</v>
      </c>
      <c r="AI50">
        <v>50.817340579710141</v>
      </c>
      <c r="AJ50">
        <v>35.82</v>
      </c>
      <c r="AK50">
        <v>38.92</v>
      </c>
      <c r="AL50">
        <v>35.29</v>
      </c>
      <c r="AM50">
        <v>78</v>
      </c>
      <c r="AN50">
        <v>94.57</v>
      </c>
      <c r="AO50">
        <v>162.78</v>
      </c>
      <c r="AP50">
        <v>14</v>
      </c>
      <c r="AQ50">
        <v>32</v>
      </c>
      <c r="AR50">
        <v>65.099999999999994</v>
      </c>
    </row>
    <row r="51" spans="1:44" x14ac:dyDescent="0.3">
      <c r="A51">
        <v>50</v>
      </c>
      <c r="B51" t="s">
        <v>265</v>
      </c>
      <c r="C51">
        <v>2024</v>
      </c>
      <c r="D51" t="s">
        <v>266</v>
      </c>
      <c r="E51">
        <v>5</v>
      </c>
      <c r="F51" t="s">
        <v>267</v>
      </c>
      <c r="G51" t="s">
        <v>161</v>
      </c>
      <c r="H51" t="s">
        <v>100</v>
      </c>
      <c r="I51" t="s">
        <v>162</v>
      </c>
      <c r="J51" t="s">
        <v>65</v>
      </c>
      <c r="K51">
        <v>82.2</v>
      </c>
      <c r="L51">
        <v>94</v>
      </c>
      <c r="M51">
        <v>36.6</v>
      </c>
      <c r="N51">
        <v>11428</v>
      </c>
      <c r="O51">
        <v>363</v>
      </c>
      <c r="P51">
        <v>36.6</v>
      </c>
      <c r="Q51">
        <v>222</v>
      </c>
      <c r="R51">
        <v>115</v>
      </c>
      <c r="S51">
        <v>9.0163934426229497E-2</v>
      </c>
      <c r="T51" t="s">
        <v>96</v>
      </c>
      <c r="U51">
        <v>22324</v>
      </c>
      <c r="V51">
        <v>31</v>
      </c>
      <c r="W51">
        <v>38</v>
      </c>
      <c r="X51">
        <v>4026</v>
      </c>
      <c r="Y51">
        <v>16.3</v>
      </c>
      <c r="Z51" t="s">
        <v>116</v>
      </c>
      <c r="AA51">
        <v>56.253005819999998</v>
      </c>
      <c r="AB51">
        <v>43.746994180000002</v>
      </c>
      <c r="AC51" t="s">
        <v>53</v>
      </c>
      <c r="AD51">
        <v>13854</v>
      </c>
      <c r="AE51">
        <v>7874</v>
      </c>
      <c r="AF51">
        <v>682.03</v>
      </c>
      <c r="AG51">
        <v>18</v>
      </c>
      <c r="AH51">
        <v>62</v>
      </c>
      <c r="AI51">
        <v>43.175027777777778</v>
      </c>
      <c r="AJ51">
        <v>22.69</v>
      </c>
      <c r="AK51">
        <v>33</v>
      </c>
      <c r="AL51">
        <v>15.2</v>
      </c>
      <c r="AM51">
        <v>79</v>
      </c>
      <c r="AN51">
        <v>94.5</v>
      </c>
      <c r="AO51">
        <v>67.959999999999994</v>
      </c>
      <c r="AP51">
        <v>16.3</v>
      </c>
      <c r="AQ51">
        <v>31</v>
      </c>
      <c r="AR51">
        <v>64.7</v>
      </c>
    </row>
    <row r="52" spans="1:44" x14ac:dyDescent="0.3">
      <c r="A52">
        <v>51</v>
      </c>
      <c r="B52" t="s">
        <v>268</v>
      </c>
      <c r="C52">
        <v>2024</v>
      </c>
      <c r="D52" t="s">
        <v>269</v>
      </c>
      <c r="E52">
        <v>3</v>
      </c>
      <c r="F52" t="s">
        <v>270</v>
      </c>
      <c r="G52" t="s">
        <v>131</v>
      </c>
      <c r="H52" t="s">
        <v>100</v>
      </c>
      <c r="I52" t="s">
        <v>271</v>
      </c>
      <c r="J52" t="s">
        <v>50</v>
      </c>
      <c r="K52">
        <v>81.3</v>
      </c>
      <c r="L52">
        <v>89.1</v>
      </c>
      <c r="M52">
        <v>62.7</v>
      </c>
      <c r="N52">
        <v>4568</v>
      </c>
      <c r="O52">
        <v>174</v>
      </c>
      <c r="P52">
        <v>62.7</v>
      </c>
      <c r="Q52">
        <v>231</v>
      </c>
      <c r="R52">
        <v>59</v>
      </c>
      <c r="S52">
        <v>5.5644387591941097E-2</v>
      </c>
      <c r="T52" t="s">
        <v>96</v>
      </c>
      <c r="U52">
        <v>22274</v>
      </c>
      <c r="V52">
        <v>10</v>
      </c>
      <c r="W52">
        <v>11</v>
      </c>
      <c r="X52">
        <v>3127</v>
      </c>
      <c r="Y52">
        <v>10.4</v>
      </c>
      <c r="Z52" t="s">
        <v>272</v>
      </c>
      <c r="AA52">
        <v>32</v>
      </c>
      <c r="AB52">
        <v>68</v>
      </c>
      <c r="AC52" t="s">
        <v>53</v>
      </c>
      <c r="AD52">
        <v>12801</v>
      </c>
      <c r="AE52">
        <v>9385</v>
      </c>
      <c r="AF52">
        <v>1288.24</v>
      </c>
      <c r="AG52">
        <v>37</v>
      </c>
      <c r="AH52">
        <v>29</v>
      </c>
      <c r="AI52">
        <v>35.237824324324329</v>
      </c>
      <c r="AJ52">
        <v>22.53</v>
      </c>
      <c r="AK52">
        <v>19.61</v>
      </c>
      <c r="AL52">
        <v>5.07</v>
      </c>
      <c r="AM52">
        <v>80</v>
      </c>
      <c r="AN52">
        <v>94.42</v>
      </c>
      <c r="AO52">
        <v>61.22</v>
      </c>
      <c r="AP52">
        <v>10.4</v>
      </c>
      <c r="AQ52">
        <v>10</v>
      </c>
      <c r="AR52">
        <v>63.9</v>
      </c>
    </row>
    <row r="53" spans="1:44" x14ac:dyDescent="0.3">
      <c r="A53">
        <v>52</v>
      </c>
      <c r="B53" t="s">
        <v>273</v>
      </c>
      <c r="C53">
        <v>2024</v>
      </c>
      <c r="D53">
        <f>81</f>
        <v>81</v>
      </c>
      <c r="E53">
        <v>11</v>
      </c>
      <c r="F53" t="s">
        <v>274</v>
      </c>
      <c r="G53" t="s">
        <v>47</v>
      </c>
      <c r="H53" t="s">
        <v>48</v>
      </c>
      <c r="I53" t="s">
        <v>275</v>
      </c>
      <c r="J53" t="s">
        <v>50</v>
      </c>
      <c r="K53">
        <v>51.5</v>
      </c>
      <c r="L53">
        <v>51.2</v>
      </c>
      <c r="M53">
        <v>71.400000000000006</v>
      </c>
      <c r="N53">
        <v>11768</v>
      </c>
      <c r="O53">
        <v>151</v>
      </c>
      <c r="P53">
        <v>71.400000000000006</v>
      </c>
      <c r="Q53">
        <v>465</v>
      </c>
      <c r="R53">
        <v>134</v>
      </c>
      <c r="S53">
        <v>6.1183144246353301E-2</v>
      </c>
      <c r="T53" t="s">
        <v>96</v>
      </c>
      <c r="U53">
        <v>19920</v>
      </c>
      <c r="V53">
        <v>35</v>
      </c>
      <c r="W53">
        <v>46</v>
      </c>
      <c r="X53">
        <v>2468</v>
      </c>
      <c r="Y53">
        <v>13</v>
      </c>
      <c r="Z53" t="s">
        <v>66</v>
      </c>
      <c r="AA53">
        <v>54</v>
      </c>
      <c r="AB53">
        <v>46</v>
      </c>
      <c r="AC53" t="s">
        <v>53</v>
      </c>
      <c r="AD53">
        <v>17110</v>
      </c>
      <c r="AE53">
        <v>7245</v>
      </c>
      <c r="AF53">
        <v>614.48</v>
      </c>
      <c r="AG53">
        <v>69</v>
      </c>
      <c r="AH53">
        <v>1</v>
      </c>
      <c r="AI53">
        <v>50.817340579710141</v>
      </c>
      <c r="AJ53">
        <v>35.82</v>
      </c>
      <c r="AK53">
        <v>38.92</v>
      </c>
      <c r="AL53">
        <v>35.29</v>
      </c>
      <c r="AM53">
        <v>81</v>
      </c>
      <c r="AN53">
        <v>94.35</v>
      </c>
      <c r="AO53">
        <v>96.44</v>
      </c>
      <c r="AP53">
        <v>13</v>
      </c>
      <c r="AQ53">
        <v>35</v>
      </c>
      <c r="AR53">
        <v>63.5</v>
      </c>
    </row>
    <row r="54" spans="1:44" x14ac:dyDescent="0.3">
      <c r="A54">
        <v>53</v>
      </c>
      <c r="B54" t="s">
        <v>276</v>
      </c>
      <c r="C54">
        <v>2024</v>
      </c>
      <c r="D54" t="s">
        <v>277</v>
      </c>
      <c r="E54">
        <v>16</v>
      </c>
      <c r="F54" t="s">
        <v>278</v>
      </c>
      <c r="G54" t="s">
        <v>47</v>
      </c>
      <c r="H54" t="s">
        <v>48</v>
      </c>
      <c r="I54" t="s">
        <v>279</v>
      </c>
      <c r="J54" t="s">
        <v>50</v>
      </c>
      <c r="K54">
        <v>67.5</v>
      </c>
      <c r="L54">
        <v>75.7</v>
      </c>
      <c r="M54">
        <v>38.200000000000003</v>
      </c>
      <c r="N54">
        <v>5421</v>
      </c>
      <c r="O54">
        <v>187</v>
      </c>
      <c r="P54">
        <v>38.200000000000003</v>
      </c>
      <c r="Q54">
        <v>345</v>
      </c>
      <c r="R54">
        <v>129</v>
      </c>
      <c r="S54">
        <v>5.2147239263803602E-2</v>
      </c>
      <c r="T54" t="s">
        <v>77</v>
      </c>
      <c r="U54">
        <v>32625</v>
      </c>
      <c r="V54">
        <v>32</v>
      </c>
      <c r="W54">
        <v>35</v>
      </c>
      <c r="X54">
        <v>3586</v>
      </c>
      <c r="Y54">
        <v>15.2</v>
      </c>
      <c r="Z54" t="s">
        <v>110</v>
      </c>
      <c r="AA54">
        <v>56</v>
      </c>
      <c r="AB54">
        <v>44</v>
      </c>
      <c r="AC54" t="s">
        <v>53</v>
      </c>
      <c r="AD54">
        <v>24203</v>
      </c>
      <c r="AE54">
        <v>9942</v>
      </c>
      <c r="AF54">
        <v>614.48</v>
      </c>
      <c r="AG54">
        <v>69</v>
      </c>
      <c r="AH54">
        <v>1</v>
      </c>
      <c r="AI54">
        <v>50.817340579710141</v>
      </c>
      <c r="AJ54">
        <v>35.82</v>
      </c>
      <c r="AK54">
        <v>38.92</v>
      </c>
      <c r="AL54">
        <v>35.29</v>
      </c>
      <c r="AM54">
        <v>84</v>
      </c>
      <c r="AN54">
        <v>94.14</v>
      </c>
      <c r="AO54">
        <v>74.52</v>
      </c>
      <c r="AP54">
        <v>15.2</v>
      </c>
      <c r="AQ54">
        <v>32</v>
      </c>
      <c r="AR54">
        <v>63</v>
      </c>
    </row>
    <row r="55" spans="1:44" x14ac:dyDescent="0.3">
      <c r="A55">
        <v>54</v>
      </c>
      <c r="B55" t="s">
        <v>280</v>
      </c>
      <c r="C55">
        <v>2024</v>
      </c>
      <c r="D55">
        <f>85</f>
        <v>85</v>
      </c>
      <c r="E55">
        <v>3</v>
      </c>
      <c r="F55" t="s">
        <v>281</v>
      </c>
      <c r="G55" t="s">
        <v>282</v>
      </c>
      <c r="H55" t="s">
        <v>48</v>
      </c>
      <c r="I55" t="s">
        <v>283</v>
      </c>
      <c r="J55" t="s">
        <v>50</v>
      </c>
      <c r="K55">
        <v>69.3</v>
      </c>
      <c r="L55">
        <v>47.5</v>
      </c>
      <c r="M55">
        <v>37.700000000000003</v>
      </c>
      <c r="N55">
        <v>13075</v>
      </c>
      <c r="O55">
        <v>76</v>
      </c>
      <c r="P55">
        <v>37.700000000000003</v>
      </c>
      <c r="Q55">
        <v>433</v>
      </c>
      <c r="R55">
        <v>90</v>
      </c>
      <c r="S55">
        <v>2.5000000000000001E-2</v>
      </c>
      <c r="T55" t="s">
        <v>58</v>
      </c>
      <c r="U55">
        <v>30349</v>
      </c>
      <c r="V55">
        <v>18</v>
      </c>
      <c r="W55">
        <v>22</v>
      </c>
      <c r="X55">
        <v>3040</v>
      </c>
      <c r="Y55">
        <v>12</v>
      </c>
      <c r="Z55" t="s">
        <v>116</v>
      </c>
      <c r="AA55">
        <v>56</v>
      </c>
      <c r="AB55">
        <v>44</v>
      </c>
      <c r="AC55" t="s">
        <v>53</v>
      </c>
      <c r="AD55">
        <v>16819</v>
      </c>
      <c r="AE55">
        <v>6929</v>
      </c>
      <c r="AF55">
        <v>329.54</v>
      </c>
      <c r="AG55">
        <v>6</v>
      </c>
      <c r="AH55">
        <v>106</v>
      </c>
      <c r="AI55">
        <v>60.135250000000013</v>
      </c>
      <c r="AJ55">
        <v>52.01</v>
      </c>
      <c r="AK55">
        <v>53.18</v>
      </c>
      <c r="AL55">
        <v>14.92</v>
      </c>
      <c r="AM55">
        <v>85</v>
      </c>
      <c r="AN55">
        <v>94.07</v>
      </c>
      <c r="AO55">
        <v>58.62</v>
      </c>
      <c r="AP55">
        <v>12</v>
      </c>
      <c r="AQ55">
        <v>18</v>
      </c>
      <c r="AR55">
        <v>62.8</v>
      </c>
    </row>
    <row r="56" spans="1:44" x14ac:dyDescent="0.3">
      <c r="A56">
        <v>55</v>
      </c>
      <c r="B56" t="s">
        <v>284</v>
      </c>
      <c r="C56">
        <v>2024</v>
      </c>
      <c r="D56">
        <f>87</f>
        <v>87</v>
      </c>
      <c r="E56">
        <v>1</v>
      </c>
      <c r="F56" t="s">
        <v>285</v>
      </c>
      <c r="G56" t="s">
        <v>286</v>
      </c>
      <c r="H56" t="s">
        <v>48</v>
      </c>
      <c r="I56" t="s">
        <v>287</v>
      </c>
      <c r="J56" t="s">
        <v>50</v>
      </c>
      <c r="K56">
        <v>81.2</v>
      </c>
      <c r="L56">
        <v>78.3</v>
      </c>
      <c r="M56">
        <v>4.5999999999999996</v>
      </c>
      <c r="N56">
        <v>8150</v>
      </c>
      <c r="O56">
        <v>10031</v>
      </c>
      <c r="P56">
        <v>4.5999999999999996</v>
      </c>
      <c r="Q56">
        <v>112</v>
      </c>
      <c r="R56">
        <v>45.5</v>
      </c>
      <c r="S56">
        <v>4.05</v>
      </c>
      <c r="T56" t="s">
        <v>71</v>
      </c>
      <c r="U56">
        <v>32680</v>
      </c>
      <c r="V56">
        <v>37</v>
      </c>
      <c r="W56">
        <v>38</v>
      </c>
      <c r="X56">
        <v>6575</v>
      </c>
      <c r="Y56">
        <v>9.6</v>
      </c>
      <c r="Z56" t="s">
        <v>133</v>
      </c>
      <c r="AA56">
        <v>51</v>
      </c>
      <c r="AB56">
        <v>49</v>
      </c>
      <c r="AC56" t="s">
        <v>53</v>
      </c>
      <c r="AD56">
        <v>17894</v>
      </c>
      <c r="AE56">
        <v>13709</v>
      </c>
      <c r="AF56">
        <v>1470.93</v>
      </c>
      <c r="AG56">
        <v>24</v>
      </c>
      <c r="AH56">
        <v>95</v>
      </c>
      <c r="AI56">
        <v>29.87127083333333</v>
      </c>
      <c r="AJ56">
        <v>18.23</v>
      </c>
      <c r="AK56">
        <v>14.05</v>
      </c>
      <c r="AL56">
        <v>16.72</v>
      </c>
      <c r="AM56">
        <v>87</v>
      </c>
      <c r="AN56">
        <v>93.92</v>
      </c>
      <c r="AO56">
        <v>20.96</v>
      </c>
      <c r="AP56">
        <v>9.6</v>
      </c>
      <c r="AQ56">
        <v>37</v>
      </c>
      <c r="AR56">
        <v>62.2</v>
      </c>
    </row>
    <row r="57" spans="1:44" x14ac:dyDescent="0.3">
      <c r="A57">
        <v>56</v>
      </c>
      <c r="B57" t="s">
        <v>288</v>
      </c>
      <c r="C57">
        <v>2024</v>
      </c>
      <c r="D57" t="s">
        <v>289</v>
      </c>
      <c r="E57">
        <v>20</v>
      </c>
      <c r="F57" t="s">
        <v>290</v>
      </c>
      <c r="G57" t="s">
        <v>107</v>
      </c>
      <c r="H57" t="s">
        <v>108</v>
      </c>
      <c r="I57" t="s">
        <v>291</v>
      </c>
      <c r="J57" t="s">
        <v>50</v>
      </c>
      <c r="K57">
        <v>43.4</v>
      </c>
      <c r="L57">
        <v>57.8</v>
      </c>
      <c r="M57">
        <v>95.3</v>
      </c>
      <c r="N57">
        <v>7778</v>
      </c>
      <c r="O57">
        <v>898</v>
      </c>
      <c r="P57">
        <v>95.3</v>
      </c>
      <c r="Q57">
        <v>336</v>
      </c>
      <c r="R57">
        <v>503</v>
      </c>
      <c r="S57">
        <v>0.41136051305542831</v>
      </c>
      <c r="T57" t="s">
        <v>71</v>
      </c>
      <c r="U57">
        <v>28223</v>
      </c>
      <c r="V57">
        <v>25</v>
      </c>
      <c r="W57">
        <v>26</v>
      </c>
      <c r="X57">
        <v>2183</v>
      </c>
      <c r="Y57">
        <v>37.4</v>
      </c>
      <c r="Z57" t="s">
        <v>133</v>
      </c>
      <c r="AA57">
        <v>51</v>
      </c>
      <c r="AB57">
        <v>49</v>
      </c>
      <c r="AC57" t="s">
        <v>53</v>
      </c>
      <c r="AD57">
        <v>21546</v>
      </c>
      <c r="AE57">
        <v>8183</v>
      </c>
      <c r="AF57">
        <v>373.87</v>
      </c>
      <c r="AG57">
        <v>21</v>
      </c>
      <c r="AH57">
        <v>54</v>
      </c>
      <c r="AI57">
        <v>57.368190476190478</v>
      </c>
      <c r="AJ57">
        <v>42.18</v>
      </c>
      <c r="AK57">
        <v>66.97</v>
      </c>
      <c r="AL57">
        <v>30.67</v>
      </c>
      <c r="AM57">
        <v>90</v>
      </c>
      <c r="AN57">
        <v>93.71</v>
      </c>
      <c r="AO57">
        <v>258.38</v>
      </c>
      <c r="AP57">
        <v>37.4</v>
      </c>
      <c r="AQ57">
        <v>25</v>
      </c>
      <c r="AR57">
        <v>61.8</v>
      </c>
    </row>
    <row r="58" spans="1:44" x14ac:dyDescent="0.3">
      <c r="A58">
        <v>57</v>
      </c>
      <c r="B58" t="s">
        <v>292</v>
      </c>
      <c r="C58">
        <v>2024</v>
      </c>
      <c r="D58">
        <f>91</f>
        <v>91</v>
      </c>
      <c r="E58">
        <v>3</v>
      </c>
      <c r="F58" t="s">
        <v>293</v>
      </c>
      <c r="G58" t="s">
        <v>294</v>
      </c>
      <c r="H58" t="s">
        <v>48</v>
      </c>
      <c r="I58" t="s">
        <v>295</v>
      </c>
      <c r="J58" t="s">
        <v>50</v>
      </c>
      <c r="K58">
        <v>59.1</v>
      </c>
      <c r="L58">
        <v>27.6</v>
      </c>
      <c r="M58">
        <v>52</v>
      </c>
      <c r="N58">
        <v>6359</v>
      </c>
      <c r="O58">
        <v>51</v>
      </c>
      <c r="P58">
        <v>52</v>
      </c>
      <c r="Q58">
        <v>321</v>
      </c>
      <c r="R58">
        <v>80</v>
      </c>
      <c r="S58">
        <v>1.3560223344855E-2</v>
      </c>
      <c r="T58" t="s">
        <v>77</v>
      </c>
      <c r="U58">
        <v>25608</v>
      </c>
      <c r="V58">
        <v>24</v>
      </c>
      <c r="W58">
        <v>29.964383290000001</v>
      </c>
      <c r="X58">
        <v>3761</v>
      </c>
      <c r="Y58">
        <v>14.7</v>
      </c>
      <c r="Z58" t="s">
        <v>110</v>
      </c>
      <c r="AA58">
        <v>51.92849863</v>
      </c>
      <c r="AB58">
        <v>48.07150137</v>
      </c>
      <c r="AC58" t="s">
        <v>53</v>
      </c>
      <c r="AD58">
        <v>16466</v>
      </c>
      <c r="AE58">
        <v>10800</v>
      </c>
      <c r="AF58">
        <v>428.7</v>
      </c>
      <c r="AG58">
        <v>5</v>
      </c>
      <c r="AH58">
        <v>80</v>
      </c>
      <c r="AI58">
        <v>64.5411</v>
      </c>
      <c r="AJ58">
        <v>43.78</v>
      </c>
      <c r="AK58">
        <v>56.61</v>
      </c>
      <c r="AL58">
        <v>32.76</v>
      </c>
      <c r="AM58">
        <v>91</v>
      </c>
      <c r="AN58">
        <v>93.64</v>
      </c>
      <c r="AO58">
        <v>63.2</v>
      </c>
      <c r="AP58">
        <v>14.7</v>
      </c>
      <c r="AQ58">
        <v>24</v>
      </c>
      <c r="AR58">
        <v>61.6</v>
      </c>
    </row>
    <row r="59" spans="1:44" x14ac:dyDescent="0.3">
      <c r="A59">
        <v>58</v>
      </c>
      <c r="B59" t="s">
        <v>296</v>
      </c>
      <c r="C59">
        <v>2024</v>
      </c>
      <c r="D59">
        <f>93</f>
        <v>93</v>
      </c>
      <c r="E59">
        <v>35</v>
      </c>
      <c r="F59" t="s">
        <v>297</v>
      </c>
      <c r="G59" t="s">
        <v>63</v>
      </c>
      <c r="H59" t="s">
        <v>64</v>
      </c>
      <c r="I59" t="s">
        <v>298</v>
      </c>
      <c r="J59" t="s">
        <v>65</v>
      </c>
      <c r="K59">
        <v>61.7</v>
      </c>
      <c r="L59">
        <v>68.3</v>
      </c>
      <c r="M59">
        <v>60.1</v>
      </c>
      <c r="N59">
        <v>8865</v>
      </c>
      <c r="O59">
        <v>26</v>
      </c>
      <c r="P59">
        <v>60.1</v>
      </c>
      <c r="Q59">
        <v>260</v>
      </c>
      <c r="R59">
        <v>113</v>
      </c>
      <c r="S59">
        <v>9.8410295230885007E-3</v>
      </c>
      <c r="T59" t="s">
        <v>77</v>
      </c>
      <c r="U59">
        <v>26677</v>
      </c>
      <c r="V59">
        <v>29</v>
      </c>
      <c r="W59">
        <v>33</v>
      </c>
      <c r="X59">
        <v>2642</v>
      </c>
      <c r="Y59">
        <v>10.8</v>
      </c>
      <c r="Z59" t="s">
        <v>110</v>
      </c>
      <c r="AA59">
        <v>58</v>
      </c>
      <c r="AB59">
        <v>42</v>
      </c>
      <c r="AC59" t="s">
        <v>53</v>
      </c>
      <c r="AD59">
        <v>17231</v>
      </c>
      <c r="AE59">
        <v>12008</v>
      </c>
      <c r="AF59">
        <v>647.61</v>
      </c>
      <c r="AG59">
        <v>98</v>
      </c>
      <c r="AH59">
        <v>2</v>
      </c>
      <c r="AI59">
        <v>56.843244897959181</v>
      </c>
      <c r="AJ59">
        <v>29.74</v>
      </c>
      <c r="AK59">
        <v>38.11</v>
      </c>
      <c r="AL59">
        <v>19.260000000000002</v>
      </c>
      <c r="AM59">
        <v>93</v>
      </c>
      <c r="AN59">
        <v>93.5</v>
      </c>
      <c r="AO59">
        <v>81.260000000000005</v>
      </c>
      <c r="AP59">
        <v>10.8</v>
      </c>
      <c r="AQ59">
        <v>29</v>
      </c>
      <c r="AR59">
        <v>61.4</v>
      </c>
    </row>
    <row r="60" spans="1:44" x14ac:dyDescent="0.3">
      <c r="A60">
        <v>59</v>
      </c>
      <c r="B60" t="s">
        <v>299</v>
      </c>
      <c r="C60">
        <v>2024</v>
      </c>
      <c r="D60">
        <f>95</f>
        <v>95</v>
      </c>
      <c r="E60">
        <v>31</v>
      </c>
      <c r="F60" t="s">
        <v>300</v>
      </c>
      <c r="G60" t="s">
        <v>47</v>
      </c>
      <c r="H60" t="s">
        <v>48</v>
      </c>
      <c r="I60" t="s">
        <v>301</v>
      </c>
      <c r="J60" t="s">
        <v>50</v>
      </c>
      <c r="K60">
        <v>47.3</v>
      </c>
      <c r="L60">
        <v>67.2</v>
      </c>
      <c r="M60">
        <v>57.7</v>
      </c>
      <c r="N60">
        <v>7940</v>
      </c>
      <c r="O60">
        <v>405</v>
      </c>
      <c r="P60">
        <v>57.7</v>
      </c>
      <c r="Q60">
        <v>262</v>
      </c>
      <c r="R60">
        <v>437</v>
      </c>
      <c r="S60">
        <v>0.33526490066225167</v>
      </c>
      <c r="T60" t="s">
        <v>58</v>
      </c>
      <c r="U60">
        <v>10325</v>
      </c>
      <c r="V60">
        <v>46</v>
      </c>
      <c r="W60">
        <v>49</v>
      </c>
      <c r="X60">
        <v>1208</v>
      </c>
      <c r="Y60">
        <v>12.4</v>
      </c>
      <c r="Z60" t="s">
        <v>110</v>
      </c>
      <c r="AA60">
        <v>59</v>
      </c>
      <c r="AB60">
        <v>41</v>
      </c>
      <c r="AC60" t="s">
        <v>53</v>
      </c>
      <c r="AD60">
        <v>6864</v>
      </c>
      <c r="AE60">
        <v>4401</v>
      </c>
      <c r="AF60">
        <v>614.48</v>
      </c>
      <c r="AG60">
        <v>69</v>
      </c>
      <c r="AH60">
        <v>1</v>
      </c>
      <c r="AI60">
        <v>50.817340579710141</v>
      </c>
      <c r="AJ60">
        <v>35.82</v>
      </c>
      <c r="AK60">
        <v>38.92</v>
      </c>
      <c r="AL60">
        <v>35.29</v>
      </c>
      <c r="AM60">
        <v>95</v>
      </c>
      <c r="AN60">
        <v>93.35</v>
      </c>
      <c r="AO60">
        <v>209.42</v>
      </c>
      <c r="AP60">
        <v>12.4</v>
      </c>
      <c r="AQ60">
        <v>46</v>
      </c>
      <c r="AR60">
        <v>61</v>
      </c>
    </row>
    <row r="61" spans="1:44" x14ac:dyDescent="0.3">
      <c r="A61">
        <v>60</v>
      </c>
      <c r="B61" t="s">
        <v>302</v>
      </c>
      <c r="C61">
        <v>2024</v>
      </c>
      <c r="D61" t="s">
        <v>303</v>
      </c>
      <c r="E61">
        <v>60</v>
      </c>
      <c r="F61" t="s">
        <v>304</v>
      </c>
      <c r="G61" t="s">
        <v>63</v>
      </c>
      <c r="H61" t="s">
        <v>64</v>
      </c>
      <c r="I61" t="s">
        <v>305</v>
      </c>
      <c r="J61" t="s">
        <v>50</v>
      </c>
      <c r="K61">
        <v>67.400000000000006</v>
      </c>
      <c r="L61">
        <v>85.1</v>
      </c>
      <c r="M61">
        <v>67.099999999999994</v>
      </c>
      <c r="N61">
        <v>13931</v>
      </c>
      <c r="O61">
        <v>222</v>
      </c>
      <c r="P61">
        <v>67.099999999999994</v>
      </c>
      <c r="Q61">
        <v>279</v>
      </c>
      <c r="R61">
        <v>144</v>
      </c>
      <c r="S61">
        <v>0.1752170481452249</v>
      </c>
      <c r="T61" t="s">
        <v>71</v>
      </c>
      <c r="U61">
        <v>32079</v>
      </c>
      <c r="V61">
        <v>29</v>
      </c>
      <c r="W61">
        <v>32</v>
      </c>
      <c r="X61">
        <v>1267</v>
      </c>
      <c r="Y61">
        <v>28</v>
      </c>
      <c r="Z61" t="s">
        <v>306</v>
      </c>
      <c r="AA61">
        <v>34</v>
      </c>
      <c r="AB61">
        <v>66</v>
      </c>
      <c r="AC61" t="s">
        <v>53</v>
      </c>
      <c r="AD61">
        <v>22922</v>
      </c>
      <c r="AE61">
        <v>10403</v>
      </c>
      <c r="AF61">
        <v>647.61</v>
      </c>
      <c r="AG61">
        <v>98</v>
      </c>
      <c r="AH61">
        <v>2</v>
      </c>
      <c r="AI61">
        <v>56.843244897959181</v>
      </c>
      <c r="AJ61">
        <v>29.74</v>
      </c>
      <c r="AK61">
        <v>38.11</v>
      </c>
      <c r="AL61">
        <v>19.260000000000002</v>
      </c>
      <c r="AM61">
        <v>97</v>
      </c>
      <c r="AN61">
        <v>93.21</v>
      </c>
      <c r="AO61">
        <v>97.86</v>
      </c>
      <c r="AP61">
        <v>28</v>
      </c>
      <c r="AQ61">
        <v>29</v>
      </c>
      <c r="AR61">
        <v>60.9</v>
      </c>
    </row>
    <row r="62" spans="1:44" x14ac:dyDescent="0.3">
      <c r="A62">
        <v>61</v>
      </c>
      <c r="B62" t="s">
        <v>307</v>
      </c>
      <c r="C62">
        <v>2024</v>
      </c>
      <c r="D62">
        <f>100</f>
        <v>100</v>
      </c>
      <c r="E62">
        <v>9</v>
      </c>
      <c r="F62" t="s">
        <v>308</v>
      </c>
      <c r="G62" t="s">
        <v>47</v>
      </c>
      <c r="H62" t="s">
        <v>48</v>
      </c>
      <c r="I62" t="s">
        <v>309</v>
      </c>
      <c r="J62" t="s">
        <v>50</v>
      </c>
      <c r="K62">
        <v>60.7</v>
      </c>
      <c r="L62">
        <v>72.099999999999994</v>
      </c>
      <c r="M62">
        <v>46.5</v>
      </c>
      <c r="N62">
        <v>39313</v>
      </c>
      <c r="O62">
        <v>114</v>
      </c>
      <c r="P62">
        <v>46.5</v>
      </c>
      <c r="Q62">
        <v>399</v>
      </c>
      <c r="R62">
        <v>138</v>
      </c>
      <c r="S62">
        <v>3.3668044890726501E-2</v>
      </c>
      <c r="T62" t="s">
        <v>77</v>
      </c>
      <c r="U62">
        <v>33520</v>
      </c>
      <c r="V62">
        <v>27</v>
      </c>
      <c r="W62">
        <v>28</v>
      </c>
      <c r="X62">
        <v>3386</v>
      </c>
      <c r="Y62">
        <v>16</v>
      </c>
      <c r="Z62" t="s">
        <v>87</v>
      </c>
      <c r="AA62">
        <v>55</v>
      </c>
      <c r="AB62">
        <v>45</v>
      </c>
      <c r="AC62" t="s">
        <v>53</v>
      </c>
      <c r="AD62">
        <v>24907</v>
      </c>
      <c r="AE62">
        <v>10563</v>
      </c>
      <c r="AF62">
        <v>614.48</v>
      </c>
      <c r="AG62">
        <v>69</v>
      </c>
      <c r="AH62">
        <v>1</v>
      </c>
      <c r="AI62">
        <v>50.817340579710141</v>
      </c>
      <c r="AJ62">
        <v>35.82</v>
      </c>
      <c r="AK62">
        <v>38.92</v>
      </c>
      <c r="AL62">
        <v>35.29</v>
      </c>
      <c r="AM62">
        <v>100</v>
      </c>
      <c r="AN62">
        <v>92.99</v>
      </c>
      <c r="AO62">
        <v>83.1</v>
      </c>
      <c r="AP62">
        <v>16</v>
      </c>
      <c r="AQ62">
        <v>27</v>
      </c>
      <c r="AR62">
        <v>60.4</v>
      </c>
    </row>
    <row r="63" spans="1:44" x14ac:dyDescent="0.3">
      <c r="A63">
        <v>62</v>
      </c>
      <c r="B63" t="s">
        <v>310</v>
      </c>
      <c r="C63">
        <v>2024</v>
      </c>
      <c r="D63" t="s">
        <v>311</v>
      </c>
      <c r="E63">
        <v>27</v>
      </c>
      <c r="F63" t="s">
        <v>312</v>
      </c>
      <c r="G63" t="s">
        <v>63</v>
      </c>
      <c r="H63" t="s">
        <v>64</v>
      </c>
      <c r="I63" t="s">
        <v>313</v>
      </c>
      <c r="J63" t="s">
        <v>50</v>
      </c>
      <c r="K63">
        <v>80.2</v>
      </c>
      <c r="L63">
        <v>47.8</v>
      </c>
      <c r="M63">
        <v>37.4</v>
      </c>
      <c r="N63">
        <v>16518</v>
      </c>
      <c r="O63">
        <v>48179</v>
      </c>
      <c r="P63">
        <v>37.4</v>
      </c>
      <c r="Q63">
        <v>196</v>
      </c>
      <c r="R63">
        <v>56.9</v>
      </c>
      <c r="S63">
        <v>7.38</v>
      </c>
      <c r="T63" t="s">
        <v>58</v>
      </c>
      <c r="U63">
        <v>41209</v>
      </c>
      <c r="V63">
        <v>13</v>
      </c>
      <c r="W63">
        <v>15</v>
      </c>
      <c r="X63">
        <v>5166</v>
      </c>
      <c r="Y63">
        <v>9.9</v>
      </c>
      <c r="Z63" t="s">
        <v>72</v>
      </c>
      <c r="AA63">
        <v>47.423032849999998</v>
      </c>
      <c r="AB63">
        <v>52.576967150000002</v>
      </c>
      <c r="AC63" t="s">
        <v>53</v>
      </c>
      <c r="AD63">
        <v>33446</v>
      </c>
      <c r="AE63">
        <v>11808</v>
      </c>
      <c r="AF63">
        <v>647.61</v>
      </c>
      <c r="AG63">
        <v>98</v>
      </c>
      <c r="AH63">
        <v>2</v>
      </c>
      <c r="AI63">
        <v>56.843244897959181</v>
      </c>
      <c r="AJ63">
        <v>29.74</v>
      </c>
      <c r="AK63">
        <v>38.11</v>
      </c>
      <c r="AL63">
        <v>19.260000000000002</v>
      </c>
      <c r="AM63">
        <v>102</v>
      </c>
      <c r="AN63">
        <v>92.85</v>
      </c>
      <c r="AO63">
        <v>45.2</v>
      </c>
      <c r="AP63">
        <v>9.9</v>
      </c>
      <c r="AQ63">
        <v>13</v>
      </c>
      <c r="AR63">
        <v>60</v>
      </c>
    </row>
    <row r="64" spans="1:44" x14ac:dyDescent="0.3">
      <c r="A64">
        <v>63</v>
      </c>
      <c r="B64" t="s">
        <v>314</v>
      </c>
      <c r="C64">
        <v>2024</v>
      </c>
      <c r="D64" t="s">
        <v>315</v>
      </c>
      <c r="E64">
        <v>2</v>
      </c>
      <c r="F64" t="s">
        <v>316</v>
      </c>
      <c r="G64" t="s">
        <v>282</v>
      </c>
      <c r="H64" t="s">
        <v>48</v>
      </c>
      <c r="I64" t="s">
        <v>317</v>
      </c>
      <c r="J64" t="s">
        <v>50</v>
      </c>
      <c r="K64">
        <v>62.7</v>
      </c>
      <c r="L64">
        <v>30.5</v>
      </c>
      <c r="M64">
        <v>45.6</v>
      </c>
      <c r="N64">
        <v>8353</v>
      </c>
      <c r="O64">
        <v>114</v>
      </c>
      <c r="P64">
        <v>45.6</v>
      </c>
      <c r="Q64">
        <v>261</v>
      </c>
      <c r="R64">
        <v>107</v>
      </c>
      <c r="S64">
        <v>4.0098487513190201E-2</v>
      </c>
      <c r="T64" t="s">
        <v>71</v>
      </c>
      <c r="U64">
        <v>24749</v>
      </c>
      <c r="V64">
        <v>17</v>
      </c>
      <c r="W64">
        <v>18</v>
      </c>
      <c r="X64">
        <v>2843</v>
      </c>
      <c r="Y64">
        <v>13.3</v>
      </c>
      <c r="Z64" t="s">
        <v>202</v>
      </c>
      <c r="AA64">
        <v>59</v>
      </c>
      <c r="AB64">
        <v>41</v>
      </c>
      <c r="AC64" t="s">
        <v>53</v>
      </c>
      <c r="AD64">
        <v>12934</v>
      </c>
      <c r="AE64">
        <v>8019</v>
      </c>
      <c r="AF64">
        <v>329.54</v>
      </c>
      <c r="AG64">
        <v>6</v>
      </c>
      <c r="AH64">
        <v>106</v>
      </c>
      <c r="AI64">
        <v>60.135250000000013</v>
      </c>
      <c r="AJ64">
        <v>52.01</v>
      </c>
      <c r="AK64">
        <v>53.18</v>
      </c>
      <c r="AL64">
        <v>14.92</v>
      </c>
      <c r="AM64">
        <v>105</v>
      </c>
      <c r="AN64">
        <v>92.64</v>
      </c>
      <c r="AO64">
        <v>70.16</v>
      </c>
      <c r="AP64">
        <v>13.3</v>
      </c>
      <c r="AQ64">
        <v>17</v>
      </c>
      <c r="AR64">
        <v>59.4</v>
      </c>
    </row>
    <row r="65" spans="1:44" x14ac:dyDescent="0.3">
      <c r="A65">
        <v>64</v>
      </c>
      <c r="B65" t="s">
        <v>318</v>
      </c>
      <c r="C65">
        <v>2024</v>
      </c>
      <c r="D65" t="s">
        <v>319</v>
      </c>
      <c r="E65">
        <v>14</v>
      </c>
      <c r="F65" t="s">
        <v>320</v>
      </c>
      <c r="G65" t="s">
        <v>150</v>
      </c>
      <c r="H65" t="s">
        <v>48</v>
      </c>
      <c r="I65" t="s">
        <v>321</v>
      </c>
      <c r="J65" t="s">
        <v>50</v>
      </c>
      <c r="K65">
        <v>49.7</v>
      </c>
      <c r="L65">
        <v>93</v>
      </c>
      <c r="M65">
        <v>78.7</v>
      </c>
      <c r="N65">
        <v>11873</v>
      </c>
      <c r="O65">
        <v>129</v>
      </c>
      <c r="P65">
        <v>78.7</v>
      </c>
      <c r="Q65">
        <v>366</v>
      </c>
      <c r="R65">
        <v>181</v>
      </c>
      <c r="S65">
        <v>5.30645824763471E-2</v>
      </c>
      <c r="T65" t="s">
        <v>51</v>
      </c>
      <c r="U65">
        <v>34914</v>
      </c>
      <c r="V65">
        <v>29</v>
      </c>
      <c r="W65">
        <v>33</v>
      </c>
      <c r="X65">
        <v>2431</v>
      </c>
      <c r="Y65">
        <v>43.3</v>
      </c>
      <c r="Z65" t="s">
        <v>306</v>
      </c>
      <c r="AA65">
        <v>35</v>
      </c>
      <c r="AB65">
        <v>65</v>
      </c>
      <c r="AC65" t="s">
        <v>53</v>
      </c>
      <c r="AD65">
        <v>18675</v>
      </c>
      <c r="AE65">
        <v>8987</v>
      </c>
      <c r="AF65">
        <v>409.72</v>
      </c>
      <c r="AG65">
        <v>9</v>
      </c>
      <c r="AH65">
        <v>31</v>
      </c>
      <c r="AI65">
        <v>59.471888888888877</v>
      </c>
      <c r="AJ65">
        <v>45.16</v>
      </c>
      <c r="AK65">
        <v>47.76</v>
      </c>
      <c r="AL65">
        <v>22.4</v>
      </c>
      <c r="AM65">
        <v>106</v>
      </c>
      <c r="AN65">
        <v>92.57</v>
      </c>
      <c r="AO65">
        <v>119.62</v>
      </c>
      <c r="AP65">
        <v>43.3</v>
      </c>
      <c r="AQ65">
        <v>29</v>
      </c>
      <c r="AR65">
        <v>59.3</v>
      </c>
    </row>
    <row r="66" spans="1:44" x14ac:dyDescent="0.3">
      <c r="A66">
        <v>65</v>
      </c>
      <c r="B66" t="s">
        <v>322</v>
      </c>
      <c r="C66">
        <v>2024</v>
      </c>
      <c r="D66">
        <f>107</f>
        <v>107</v>
      </c>
      <c r="E66">
        <v>1</v>
      </c>
      <c r="F66" t="s">
        <v>323</v>
      </c>
      <c r="G66" t="s">
        <v>324</v>
      </c>
      <c r="H66" t="s">
        <v>48</v>
      </c>
      <c r="I66" t="s">
        <v>325</v>
      </c>
      <c r="J66" t="s">
        <v>50</v>
      </c>
      <c r="K66">
        <v>74.099999999999994</v>
      </c>
      <c r="L66">
        <v>25.8</v>
      </c>
      <c r="M66">
        <v>21.2</v>
      </c>
      <c r="N66">
        <v>4620</v>
      </c>
      <c r="O66">
        <v>38</v>
      </c>
      <c r="P66">
        <v>21.2</v>
      </c>
      <c r="Q66">
        <v>181</v>
      </c>
      <c r="R66">
        <v>26</v>
      </c>
      <c r="S66">
        <v>5.2104757987110001E-3</v>
      </c>
      <c r="T66" t="s">
        <v>77</v>
      </c>
      <c r="U66">
        <v>31728</v>
      </c>
      <c r="V66">
        <v>14</v>
      </c>
      <c r="W66">
        <v>14</v>
      </c>
      <c r="X66">
        <v>7293</v>
      </c>
      <c r="Y66">
        <v>4.3</v>
      </c>
      <c r="Z66" t="s">
        <v>326</v>
      </c>
      <c r="AA66">
        <v>63</v>
      </c>
      <c r="AB66">
        <v>37</v>
      </c>
      <c r="AC66" t="s">
        <v>53</v>
      </c>
      <c r="AD66">
        <v>17473</v>
      </c>
      <c r="AE66">
        <v>13952</v>
      </c>
      <c r="AF66">
        <v>237.83</v>
      </c>
      <c r="AG66">
        <v>4</v>
      </c>
      <c r="AH66">
        <v>103</v>
      </c>
      <c r="AI66">
        <v>63.334375000000001</v>
      </c>
      <c r="AJ66">
        <v>49.09</v>
      </c>
      <c r="AK66">
        <v>65.69</v>
      </c>
      <c r="AL66">
        <v>18</v>
      </c>
      <c r="AM66">
        <v>107</v>
      </c>
      <c r="AN66">
        <v>92.49</v>
      </c>
      <c r="AO66">
        <v>23.12</v>
      </c>
      <c r="AP66">
        <v>4.3</v>
      </c>
      <c r="AQ66">
        <v>14</v>
      </c>
      <c r="AR66">
        <v>58.8</v>
      </c>
    </row>
    <row r="67" spans="1:44" x14ac:dyDescent="0.3">
      <c r="A67">
        <v>66</v>
      </c>
      <c r="B67" t="s">
        <v>327</v>
      </c>
      <c r="C67">
        <v>2024</v>
      </c>
      <c r="D67" t="s">
        <v>328</v>
      </c>
      <c r="E67">
        <v>3</v>
      </c>
      <c r="F67" t="s">
        <v>329</v>
      </c>
      <c r="G67" t="s">
        <v>330</v>
      </c>
      <c r="H67" t="s">
        <v>48</v>
      </c>
      <c r="I67" t="s">
        <v>331</v>
      </c>
      <c r="J67" t="s">
        <v>50</v>
      </c>
      <c r="K67">
        <v>44.6</v>
      </c>
      <c r="L67">
        <v>41.8</v>
      </c>
      <c r="M67">
        <v>79.400000000000006</v>
      </c>
      <c r="N67">
        <v>9144</v>
      </c>
      <c r="O67">
        <v>363</v>
      </c>
      <c r="P67">
        <v>79.400000000000006</v>
      </c>
      <c r="Q67">
        <v>328</v>
      </c>
      <c r="R67">
        <v>340</v>
      </c>
      <c r="S67">
        <v>0.26002865329512892</v>
      </c>
      <c r="T67" t="s">
        <v>58</v>
      </c>
      <c r="U67">
        <v>14427</v>
      </c>
      <c r="V67">
        <v>23</v>
      </c>
      <c r="W67">
        <v>26</v>
      </c>
      <c r="X67">
        <v>1396</v>
      </c>
      <c r="Y67">
        <v>20.399999999999999</v>
      </c>
      <c r="Z67" t="s">
        <v>332</v>
      </c>
      <c r="AA67">
        <v>39</v>
      </c>
      <c r="AB67">
        <v>61</v>
      </c>
      <c r="AC67" t="s">
        <v>53</v>
      </c>
      <c r="AD67">
        <v>10829</v>
      </c>
      <c r="AE67">
        <v>4302</v>
      </c>
      <c r="AF67">
        <v>384.82</v>
      </c>
      <c r="AG67">
        <v>8</v>
      </c>
      <c r="AH67">
        <v>121</v>
      </c>
      <c r="AI67">
        <v>53.541874999999997</v>
      </c>
      <c r="AJ67">
        <v>36.49</v>
      </c>
      <c r="AK67">
        <v>55.81</v>
      </c>
      <c r="AL67">
        <v>13.23</v>
      </c>
      <c r="AM67">
        <v>109</v>
      </c>
      <c r="AN67">
        <v>92.35</v>
      </c>
      <c r="AO67">
        <v>183.64</v>
      </c>
      <c r="AP67">
        <v>20.399999999999999</v>
      </c>
      <c r="AQ67">
        <v>23</v>
      </c>
      <c r="AR67">
        <v>58.7</v>
      </c>
    </row>
    <row r="68" spans="1:44" x14ac:dyDescent="0.3">
      <c r="A68">
        <v>67</v>
      </c>
      <c r="B68" t="s">
        <v>333</v>
      </c>
      <c r="C68">
        <v>2024</v>
      </c>
      <c r="D68" t="s">
        <v>334</v>
      </c>
      <c r="E68">
        <v>19</v>
      </c>
      <c r="F68" t="s">
        <v>335</v>
      </c>
      <c r="G68" t="s">
        <v>47</v>
      </c>
      <c r="H68" t="s">
        <v>48</v>
      </c>
      <c r="I68" t="s">
        <v>336</v>
      </c>
      <c r="J68" t="s">
        <v>50</v>
      </c>
      <c r="K68">
        <v>48</v>
      </c>
      <c r="L68">
        <v>74.5</v>
      </c>
      <c r="M68">
        <v>50.2</v>
      </c>
      <c r="N68">
        <v>10402</v>
      </c>
      <c r="O68">
        <v>174</v>
      </c>
      <c r="P68">
        <v>50.2</v>
      </c>
      <c r="Q68">
        <v>558</v>
      </c>
      <c r="R68">
        <v>236</v>
      </c>
      <c r="S68">
        <v>6.2906724511930495E-2</v>
      </c>
      <c r="T68" t="s">
        <v>58</v>
      </c>
      <c r="U68">
        <v>25650</v>
      </c>
      <c r="V68">
        <v>26</v>
      </c>
      <c r="W68">
        <v>28</v>
      </c>
      <c r="X68">
        <v>2766</v>
      </c>
      <c r="Y68">
        <v>14.8</v>
      </c>
      <c r="Z68" t="s">
        <v>337</v>
      </c>
      <c r="AA68">
        <v>54</v>
      </c>
      <c r="AB68">
        <v>46</v>
      </c>
      <c r="AC68" t="s">
        <v>53</v>
      </c>
      <c r="AD68">
        <v>15522</v>
      </c>
      <c r="AE68">
        <v>10878</v>
      </c>
      <c r="AF68">
        <v>614.48</v>
      </c>
      <c r="AG68">
        <v>69</v>
      </c>
      <c r="AH68">
        <v>1</v>
      </c>
      <c r="AI68">
        <v>50.817340579710141</v>
      </c>
      <c r="AJ68">
        <v>35.82</v>
      </c>
      <c r="AK68">
        <v>38.92</v>
      </c>
      <c r="AL68">
        <v>35.29</v>
      </c>
      <c r="AM68">
        <v>110</v>
      </c>
      <c r="AN68">
        <v>92.28</v>
      </c>
      <c r="AO68">
        <v>124.52</v>
      </c>
      <c r="AP68">
        <v>14.8</v>
      </c>
      <c r="AQ68">
        <v>26</v>
      </c>
      <c r="AR68">
        <v>58.6</v>
      </c>
    </row>
    <row r="69" spans="1:44" x14ac:dyDescent="0.3">
      <c r="A69">
        <v>68</v>
      </c>
      <c r="B69" t="s">
        <v>338</v>
      </c>
      <c r="C69">
        <v>2024</v>
      </c>
      <c r="D69" t="s">
        <v>339</v>
      </c>
      <c r="E69">
        <v>4</v>
      </c>
      <c r="F69" t="s">
        <v>340</v>
      </c>
      <c r="G69" t="s">
        <v>114</v>
      </c>
      <c r="H69" t="s">
        <v>64</v>
      </c>
      <c r="I69" t="s">
        <v>341</v>
      </c>
      <c r="J69" t="s">
        <v>50</v>
      </c>
      <c r="K69">
        <v>56.8</v>
      </c>
      <c r="L69">
        <v>36.5</v>
      </c>
      <c r="M69">
        <v>59.1</v>
      </c>
      <c r="N69">
        <v>6350</v>
      </c>
      <c r="O69">
        <v>80</v>
      </c>
      <c r="P69">
        <v>59.1</v>
      </c>
      <c r="Q69">
        <v>303</v>
      </c>
      <c r="R69">
        <v>62</v>
      </c>
      <c r="S69">
        <v>2.1947873799725601E-2</v>
      </c>
      <c r="T69" t="s">
        <v>77</v>
      </c>
      <c r="U69">
        <v>33730</v>
      </c>
      <c r="V69">
        <v>27</v>
      </c>
      <c r="W69">
        <v>28</v>
      </c>
      <c r="X69">
        <v>3645</v>
      </c>
      <c r="Y69">
        <v>22.8</v>
      </c>
      <c r="Z69" t="s">
        <v>332</v>
      </c>
      <c r="AA69">
        <v>38.88865405</v>
      </c>
      <c r="AB69">
        <v>61.11134595</v>
      </c>
      <c r="AC69" t="s">
        <v>53</v>
      </c>
      <c r="AD69">
        <v>27535</v>
      </c>
      <c r="AE69">
        <v>6403</v>
      </c>
      <c r="AF69">
        <v>559.59</v>
      </c>
      <c r="AG69">
        <v>23</v>
      </c>
      <c r="AH69">
        <v>21</v>
      </c>
      <c r="AI69">
        <v>55.883456521739127</v>
      </c>
      <c r="AJ69">
        <v>36.42</v>
      </c>
      <c r="AK69">
        <v>48.16</v>
      </c>
      <c r="AL69">
        <v>22.85</v>
      </c>
      <c r="AM69">
        <v>111</v>
      </c>
      <c r="AN69">
        <v>92.21</v>
      </c>
      <c r="AO69">
        <v>60.26</v>
      </c>
      <c r="AP69">
        <v>22.8</v>
      </c>
      <c r="AQ69">
        <v>27</v>
      </c>
      <c r="AR69">
        <v>58.3</v>
      </c>
    </row>
    <row r="70" spans="1:44" x14ac:dyDescent="0.3">
      <c r="A70">
        <v>69</v>
      </c>
      <c r="B70" t="s">
        <v>342</v>
      </c>
      <c r="C70">
        <v>2024</v>
      </c>
      <c r="D70" t="s">
        <v>343</v>
      </c>
      <c r="E70">
        <v>12</v>
      </c>
      <c r="F70" t="s">
        <v>344</v>
      </c>
      <c r="G70" t="s">
        <v>114</v>
      </c>
      <c r="H70" t="s">
        <v>64</v>
      </c>
      <c r="I70" t="s">
        <v>345</v>
      </c>
      <c r="J70" t="s">
        <v>50</v>
      </c>
      <c r="K70">
        <v>40.700000000000003</v>
      </c>
      <c r="L70">
        <v>66.7</v>
      </c>
      <c r="M70">
        <v>82.9</v>
      </c>
      <c r="N70">
        <v>5669</v>
      </c>
      <c r="O70">
        <v>275</v>
      </c>
      <c r="P70">
        <v>82.9</v>
      </c>
      <c r="Q70">
        <v>351</v>
      </c>
      <c r="R70">
        <v>196</v>
      </c>
      <c r="S70">
        <v>0.1441299790356394</v>
      </c>
      <c r="T70" t="s">
        <v>71</v>
      </c>
      <c r="U70">
        <v>36904</v>
      </c>
      <c r="V70">
        <v>23</v>
      </c>
      <c r="W70">
        <v>21</v>
      </c>
      <c r="X70">
        <v>1908</v>
      </c>
      <c r="Y70">
        <v>24.2</v>
      </c>
      <c r="Z70" t="s">
        <v>72</v>
      </c>
      <c r="AA70">
        <v>47</v>
      </c>
      <c r="AB70">
        <v>53</v>
      </c>
      <c r="AC70" t="s">
        <v>53</v>
      </c>
      <c r="AD70">
        <v>19964</v>
      </c>
      <c r="AE70">
        <v>14808</v>
      </c>
      <c r="AF70">
        <v>559.59</v>
      </c>
      <c r="AG70">
        <v>23</v>
      </c>
      <c r="AH70">
        <v>21</v>
      </c>
      <c r="AI70">
        <v>55.883456521739127</v>
      </c>
      <c r="AJ70">
        <v>36.42</v>
      </c>
      <c r="AK70">
        <v>48.16</v>
      </c>
      <c r="AL70">
        <v>22.85</v>
      </c>
      <c r="AM70">
        <v>112</v>
      </c>
      <c r="AN70">
        <v>92.14</v>
      </c>
      <c r="AO70">
        <v>128.13999999999999</v>
      </c>
      <c r="AP70">
        <v>24.2</v>
      </c>
      <c r="AQ70">
        <v>23</v>
      </c>
      <c r="AR70">
        <v>58.1</v>
      </c>
    </row>
    <row r="71" spans="1:44" x14ac:dyDescent="0.3">
      <c r="A71">
        <v>70</v>
      </c>
      <c r="B71" t="s">
        <v>346</v>
      </c>
      <c r="C71">
        <v>2024</v>
      </c>
      <c r="D71" t="s">
        <v>347</v>
      </c>
      <c r="E71">
        <v>5</v>
      </c>
      <c r="F71" t="s">
        <v>348</v>
      </c>
      <c r="G71" t="s">
        <v>131</v>
      </c>
      <c r="H71" t="s">
        <v>100</v>
      </c>
      <c r="I71" t="s">
        <v>349</v>
      </c>
      <c r="J71" t="s">
        <v>50</v>
      </c>
      <c r="K71">
        <v>72.400000000000006</v>
      </c>
      <c r="L71">
        <v>84.2</v>
      </c>
      <c r="M71">
        <v>29.6</v>
      </c>
      <c r="N71">
        <v>4388</v>
      </c>
      <c r="O71">
        <v>167</v>
      </c>
      <c r="P71">
        <v>29.6</v>
      </c>
      <c r="Q71">
        <v>165</v>
      </c>
      <c r="R71">
        <v>60</v>
      </c>
      <c r="S71">
        <v>5.0255792958170301E-2</v>
      </c>
      <c r="T71" t="s">
        <v>58</v>
      </c>
      <c r="U71">
        <v>17409</v>
      </c>
      <c r="V71">
        <v>12</v>
      </c>
      <c r="W71">
        <v>13</v>
      </c>
      <c r="X71">
        <v>3323</v>
      </c>
      <c r="Y71">
        <v>11.8</v>
      </c>
      <c r="Z71" t="s">
        <v>350</v>
      </c>
      <c r="AA71">
        <v>28</v>
      </c>
      <c r="AB71">
        <v>72</v>
      </c>
      <c r="AC71" t="s">
        <v>53</v>
      </c>
      <c r="AD71">
        <v>12428</v>
      </c>
      <c r="AE71">
        <v>4921</v>
      </c>
      <c r="AF71">
        <v>1349.57</v>
      </c>
      <c r="AG71">
        <v>37</v>
      </c>
      <c r="AH71">
        <v>29</v>
      </c>
      <c r="AI71">
        <v>35.237824324324329</v>
      </c>
      <c r="AJ71">
        <v>25.61</v>
      </c>
      <c r="AK71">
        <v>22.27</v>
      </c>
      <c r="AL71">
        <v>5.48</v>
      </c>
      <c r="AM71">
        <v>113</v>
      </c>
      <c r="AN71">
        <v>92.07</v>
      </c>
      <c r="AO71">
        <v>41.76</v>
      </c>
      <c r="AP71">
        <v>11.8</v>
      </c>
      <c r="AQ71">
        <v>12</v>
      </c>
      <c r="AR71">
        <v>58</v>
      </c>
    </row>
    <row r="72" spans="1:44" x14ac:dyDescent="0.3">
      <c r="A72">
        <v>71</v>
      </c>
      <c r="B72" t="s">
        <v>351</v>
      </c>
      <c r="C72">
        <v>2024</v>
      </c>
      <c r="D72" t="s">
        <v>352</v>
      </c>
      <c r="E72">
        <v>8</v>
      </c>
      <c r="F72" t="s">
        <v>353</v>
      </c>
      <c r="G72" t="s">
        <v>114</v>
      </c>
      <c r="H72" t="s">
        <v>64</v>
      </c>
      <c r="I72" t="s">
        <v>76</v>
      </c>
      <c r="J72" t="s">
        <v>50</v>
      </c>
      <c r="K72">
        <v>32.1</v>
      </c>
      <c r="L72">
        <v>47.4</v>
      </c>
      <c r="M72">
        <v>98.3</v>
      </c>
      <c r="N72">
        <v>14097</v>
      </c>
      <c r="O72">
        <v>167</v>
      </c>
      <c r="P72">
        <v>98.3</v>
      </c>
      <c r="Q72">
        <v>346</v>
      </c>
      <c r="R72">
        <v>164</v>
      </c>
      <c r="S72">
        <v>0.1273836765827612</v>
      </c>
      <c r="T72" t="s">
        <v>71</v>
      </c>
      <c r="U72">
        <v>30176</v>
      </c>
      <c r="V72">
        <v>24</v>
      </c>
      <c r="W72">
        <v>25</v>
      </c>
      <c r="X72">
        <v>1311</v>
      </c>
      <c r="Y72">
        <v>33</v>
      </c>
      <c r="Z72" t="s">
        <v>116</v>
      </c>
      <c r="AA72">
        <v>56</v>
      </c>
      <c r="AB72">
        <v>44</v>
      </c>
      <c r="AC72" t="s">
        <v>53</v>
      </c>
      <c r="AD72">
        <v>19813</v>
      </c>
      <c r="AE72">
        <v>12018</v>
      </c>
      <c r="AF72">
        <v>559.59</v>
      </c>
      <c r="AG72">
        <v>23</v>
      </c>
      <c r="AH72">
        <v>21</v>
      </c>
      <c r="AI72">
        <v>55.883456521739127</v>
      </c>
      <c r="AJ72">
        <v>36.42</v>
      </c>
      <c r="AK72">
        <v>48.16</v>
      </c>
      <c r="AL72">
        <v>22.85</v>
      </c>
      <c r="AM72">
        <v>114</v>
      </c>
      <c r="AN72">
        <v>91.99</v>
      </c>
      <c r="AO72">
        <v>124.58</v>
      </c>
      <c r="AP72">
        <v>33</v>
      </c>
      <c r="AQ72">
        <v>24</v>
      </c>
      <c r="AR72">
        <v>57.4</v>
      </c>
    </row>
    <row r="73" spans="1:44" x14ac:dyDescent="0.3">
      <c r="A73">
        <v>72</v>
      </c>
      <c r="B73" t="s">
        <v>354</v>
      </c>
      <c r="C73">
        <v>2024</v>
      </c>
      <c r="D73" t="s">
        <v>355</v>
      </c>
      <c r="E73">
        <v>1</v>
      </c>
      <c r="F73" t="s">
        <v>356</v>
      </c>
      <c r="G73" t="s">
        <v>330</v>
      </c>
      <c r="H73" t="s">
        <v>48</v>
      </c>
      <c r="I73" t="s">
        <v>357</v>
      </c>
      <c r="J73" t="s">
        <v>50</v>
      </c>
      <c r="K73">
        <v>65.099999999999994</v>
      </c>
      <c r="L73">
        <v>32.299999999999997</v>
      </c>
      <c r="M73">
        <v>49.8</v>
      </c>
      <c r="N73">
        <v>14154</v>
      </c>
      <c r="O73">
        <v>108</v>
      </c>
      <c r="P73">
        <v>49.8</v>
      </c>
      <c r="Q73">
        <v>366</v>
      </c>
      <c r="R73">
        <v>82</v>
      </c>
      <c r="S73">
        <v>3.7828371278458797E-2</v>
      </c>
      <c r="T73" t="s">
        <v>51</v>
      </c>
      <c r="U73">
        <v>22887</v>
      </c>
      <c r="V73">
        <v>5</v>
      </c>
      <c r="W73">
        <v>7</v>
      </c>
      <c r="X73">
        <v>2855</v>
      </c>
      <c r="Y73">
        <v>15.9</v>
      </c>
      <c r="Z73" t="s">
        <v>358</v>
      </c>
      <c r="AA73">
        <v>68</v>
      </c>
      <c r="AB73">
        <v>32</v>
      </c>
      <c r="AC73" t="s">
        <v>53</v>
      </c>
      <c r="AD73">
        <v>17318</v>
      </c>
      <c r="AE73">
        <v>5656</v>
      </c>
      <c r="AF73">
        <v>384.82</v>
      </c>
      <c r="AG73">
        <v>8</v>
      </c>
      <c r="AH73">
        <v>121</v>
      </c>
      <c r="AI73">
        <v>53.541874999999997</v>
      </c>
      <c r="AJ73">
        <v>36.49</v>
      </c>
      <c r="AK73">
        <v>55.81</v>
      </c>
      <c r="AL73">
        <v>13.23</v>
      </c>
      <c r="AM73">
        <v>115</v>
      </c>
      <c r="AN73">
        <v>91.92</v>
      </c>
      <c r="AO73">
        <v>62.68</v>
      </c>
      <c r="AP73">
        <v>15.9</v>
      </c>
      <c r="AQ73">
        <v>5</v>
      </c>
      <c r="AR73">
        <v>57.2</v>
      </c>
    </row>
    <row r="74" spans="1:44" x14ac:dyDescent="0.3">
      <c r="A74">
        <v>73</v>
      </c>
      <c r="B74" t="s">
        <v>359</v>
      </c>
      <c r="C74">
        <v>2024</v>
      </c>
      <c r="D74" t="s">
        <v>360</v>
      </c>
      <c r="E74">
        <v>33</v>
      </c>
      <c r="F74" t="s">
        <v>361</v>
      </c>
      <c r="G74" t="s">
        <v>63</v>
      </c>
      <c r="H74" t="s">
        <v>64</v>
      </c>
      <c r="I74" t="s">
        <v>362</v>
      </c>
      <c r="J74" t="s">
        <v>65</v>
      </c>
      <c r="K74">
        <v>52.5</v>
      </c>
      <c r="L74">
        <v>47.6</v>
      </c>
      <c r="M74">
        <v>68</v>
      </c>
      <c r="N74">
        <v>13876</v>
      </c>
      <c r="O74">
        <v>66</v>
      </c>
      <c r="P74">
        <v>68</v>
      </c>
      <c r="Q74">
        <v>408</v>
      </c>
      <c r="R74">
        <v>121</v>
      </c>
      <c r="S74">
        <v>2.1181001283697001E-2</v>
      </c>
      <c r="T74" t="s">
        <v>71</v>
      </c>
      <c r="U74">
        <v>44083</v>
      </c>
      <c r="V74">
        <v>24</v>
      </c>
      <c r="W74">
        <v>27</v>
      </c>
      <c r="X74">
        <v>3116</v>
      </c>
      <c r="Y74">
        <v>14.2</v>
      </c>
      <c r="Z74" t="s">
        <v>59</v>
      </c>
      <c r="AA74">
        <v>53</v>
      </c>
      <c r="AB74">
        <v>47</v>
      </c>
      <c r="AC74" t="s">
        <v>53</v>
      </c>
      <c r="AD74">
        <v>33123</v>
      </c>
      <c r="AE74">
        <v>9717</v>
      </c>
      <c r="AF74">
        <v>647.61</v>
      </c>
      <c r="AG74">
        <v>98</v>
      </c>
      <c r="AH74">
        <v>2</v>
      </c>
      <c r="AI74">
        <v>56.843244897959181</v>
      </c>
      <c r="AJ74">
        <v>29.74</v>
      </c>
      <c r="AK74">
        <v>38.11</v>
      </c>
      <c r="AL74">
        <v>19.260000000000002</v>
      </c>
      <c r="AM74">
        <v>116</v>
      </c>
      <c r="AN74">
        <v>91.85</v>
      </c>
      <c r="AO74">
        <v>89.2</v>
      </c>
      <c r="AP74">
        <v>14.2</v>
      </c>
      <c r="AQ74">
        <v>24</v>
      </c>
      <c r="AR74">
        <v>57.1</v>
      </c>
    </row>
    <row r="75" spans="1:44" x14ac:dyDescent="0.3">
      <c r="A75">
        <v>74</v>
      </c>
      <c r="B75" t="s">
        <v>363</v>
      </c>
      <c r="C75">
        <v>2024</v>
      </c>
      <c r="D75" t="s">
        <v>364</v>
      </c>
      <c r="E75">
        <v>1</v>
      </c>
      <c r="F75" t="s">
        <v>365</v>
      </c>
      <c r="G75" t="s">
        <v>366</v>
      </c>
      <c r="H75" t="s">
        <v>48</v>
      </c>
      <c r="I75" t="s">
        <v>367</v>
      </c>
      <c r="J75" t="s">
        <v>50</v>
      </c>
      <c r="K75">
        <v>55.8</v>
      </c>
      <c r="L75">
        <v>11.2</v>
      </c>
      <c r="M75">
        <v>64.2</v>
      </c>
      <c r="N75">
        <v>11715</v>
      </c>
      <c r="O75">
        <v>93</v>
      </c>
      <c r="P75">
        <v>64.2</v>
      </c>
      <c r="Q75">
        <v>252</v>
      </c>
      <c r="R75">
        <v>99</v>
      </c>
      <c r="S75">
        <v>3.5769230769230699E-2</v>
      </c>
      <c r="T75" t="s">
        <v>51</v>
      </c>
      <c r="U75">
        <v>20967</v>
      </c>
      <c r="V75">
        <v>15</v>
      </c>
      <c r="W75">
        <v>18</v>
      </c>
      <c r="X75">
        <v>2600</v>
      </c>
      <c r="Y75">
        <v>12.5</v>
      </c>
      <c r="Z75" t="s">
        <v>368</v>
      </c>
      <c r="AA75">
        <v>64</v>
      </c>
      <c r="AB75">
        <v>36</v>
      </c>
      <c r="AC75" t="s">
        <v>53</v>
      </c>
      <c r="AD75">
        <v>11219</v>
      </c>
      <c r="AE75">
        <v>8883</v>
      </c>
      <c r="AF75">
        <v>499</v>
      </c>
      <c r="AG75">
        <v>3</v>
      </c>
      <c r="AH75">
        <v>127</v>
      </c>
      <c r="AI75">
        <v>52.4375</v>
      </c>
      <c r="AJ75">
        <v>35.700000000000003</v>
      </c>
      <c r="AK75">
        <v>35.97</v>
      </c>
      <c r="AL75">
        <v>14.35</v>
      </c>
      <c r="AM75">
        <v>117</v>
      </c>
      <c r="AN75">
        <v>91.78</v>
      </c>
      <c r="AO75">
        <v>78.12</v>
      </c>
      <c r="AP75">
        <v>12.5</v>
      </c>
      <c r="AQ75">
        <v>15</v>
      </c>
      <c r="AR75">
        <v>56.9</v>
      </c>
    </row>
    <row r="76" spans="1:44" x14ac:dyDescent="0.3">
      <c r="A76">
        <v>75</v>
      </c>
      <c r="B76" t="s">
        <v>369</v>
      </c>
      <c r="C76">
        <v>2024</v>
      </c>
      <c r="D76" t="s">
        <v>370</v>
      </c>
      <c r="E76">
        <v>5</v>
      </c>
      <c r="F76" t="s">
        <v>371</v>
      </c>
      <c r="G76" t="s">
        <v>282</v>
      </c>
      <c r="H76" t="s">
        <v>48</v>
      </c>
      <c r="I76" t="s">
        <v>372</v>
      </c>
      <c r="J76" t="s">
        <v>50</v>
      </c>
      <c r="K76">
        <v>54.1</v>
      </c>
      <c r="L76">
        <v>15.2</v>
      </c>
      <c r="M76">
        <v>71.900000000000006</v>
      </c>
      <c r="N76">
        <v>11753</v>
      </c>
      <c r="O76">
        <v>93</v>
      </c>
      <c r="P76">
        <v>71.900000000000006</v>
      </c>
      <c r="Q76">
        <v>344</v>
      </c>
      <c r="R76">
        <v>247</v>
      </c>
      <c r="S76">
        <v>0.04</v>
      </c>
      <c r="T76" t="s">
        <v>51</v>
      </c>
      <c r="U76">
        <v>29774</v>
      </c>
      <c r="V76">
        <v>13</v>
      </c>
      <c r="W76">
        <v>14</v>
      </c>
      <c r="X76">
        <v>2325</v>
      </c>
      <c r="Y76">
        <v>20.3</v>
      </c>
      <c r="Z76" t="s">
        <v>102</v>
      </c>
      <c r="AA76">
        <v>45.705405050000003</v>
      </c>
      <c r="AB76">
        <v>54.294594949999997</v>
      </c>
      <c r="AC76" t="s">
        <v>53</v>
      </c>
      <c r="AD76">
        <v>18398</v>
      </c>
      <c r="AE76">
        <v>9348</v>
      </c>
      <c r="AF76">
        <v>329.54</v>
      </c>
      <c r="AG76">
        <v>6</v>
      </c>
      <c r="AH76">
        <v>106</v>
      </c>
      <c r="AI76">
        <v>60.135250000000013</v>
      </c>
      <c r="AJ76">
        <v>52.01</v>
      </c>
      <c r="AK76">
        <v>53.18</v>
      </c>
      <c r="AL76">
        <v>14.92</v>
      </c>
      <c r="AM76">
        <v>118</v>
      </c>
      <c r="AN76">
        <v>91.71</v>
      </c>
      <c r="AO76">
        <v>141.94</v>
      </c>
      <c r="AP76">
        <v>20.3</v>
      </c>
      <c r="AQ76">
        <v>13</v>
      </c>
      <c r="AR76">
        <v>56.8</v>
      </c>
    </row>
    <row r="77" spans="1:44" x14ac:dyDescent="0.3">
      <c r="A77">
        <v>76</v>
      </c>
      <c r="B77" t="s">
        <v>373</v>
      </c>
      <c r="C77">
        <v>2024</v>
      </c>
      <c r="D77" t="s">
        <v>374</v>
      </c>
      <c r="E77">
        <v>3</v>
      </c>
      <c r="F77" t="s">
        <v>375</v>
      </c>
      <c r="G77" t="s">
        <v>324</v>
      </c>
      <c r="H77" t="s">
        <v>48</v>
      </c>
      <c r="I77" t="s">
        <v>376</v>
      </c>
      <c r="J77" t="s">
        <v>50</v>
      </c>
      <c r="K77">
        <v>32.5</v>
      </c>
      <c r="L77">
        <v>16.3</v>
      </c>
      <c r="M77">
        <v>83.4</v>
      </c>
      <c r="N77">
        <v>3132</v>
      </c>
      <c r="O77">
        <v>93</v>
      </c>
      <c r="P77">
        <v>83.4</v>
      </c>
      <c r="Q77">
        <v>229</v>
      </c>
      <c r="R77">
        <v>216</v>
      </c>
      <c r="S77">
        <v>4.1910770617395197E-2</v>
      </c>
      <c r="T77" t="s">
        <v>77</v>
      </c>
      <c r="U77">
        <v>10410</v>
      </c>
      <c r="V77">
        <v>28</v>
      </c>
      <c r="W77">
        <v>37</v>
      </c>
      <c r="X77">
        <v>2219</v>
      </c>
      <c r="Y77">
        <v>7.7</v>
      </c>
      <c r="Z77" t="s">
        <v>272</v>
      </c>
      <c r="AA77">
        <v>34</v>
      </c>
      <c r="AB77">
        <v>66</v>
      </c>
      <c r="AC77" t="s">
        <v>53</v>
      </c>
      <c r="AD77">
        <v>9134</v>
      </c>
      <c r="AE77">
        <v>2120</v>
      </c>
      <c r="AF77">
        <v>237.83</v>
      </c>
      <c r="AG77">
        <v>4</v>
      </c>
      <c r="AH77">
        <v>103</v>
      </c>
      <c r="AI77">
        <v>63.334375000000001</v>
      </c>
      <c r="AJ77">
        <v>49.09</v>
      </c>
      <c r="AK77">
        <v>65.69</v>
      </c>
      <c r="AL77">
        <v>18</v>
      </c>
      <c r="AM77">
        <v>121</v>
      </c>
      <c r="AN77">
        <v>91.49</v>
      </c>
      <c r="AO77">
        <v>136.44</v>
      </c>
      <c r="AP77">
        <v>7.7</v>
      </c>
      <c r="AQ77">
        <v>28</v>
      </c>
      <c r="AR77">
        <v>56.2</v>
      </c>
    </row>
    <row r="78" spans="1:44" x14ac:dyDescent="0.3">
      <c r="A78">
        <v>77</v>
      </c>
      <c r="B78" t="s">
        <v>377</v>
      </c>
      <c r="C78">
        <v>2024</v>
      </c>
      <c r="D78" t="s">
        <v>378</v>
      </c>
      <c r="E78">
        <v>32</v>
      </c>
      <c r="F78" t="s">
        <v>379</v>
      </c>
      <c r="G78" t="s">
        <v>47</v>
      </c>
      <c r="H78" t="s">
        <v>48</v>
      </c>
      <c r="I78" t="s">
        <v>380</v>
      </c>
      <c r="J78" t="s">
        <v>50</v>
      </c>
      <c r="K78">
        <v>39.700000000000003</v>
      </c>
      <c r="L78">
        <v>40.200000000000003</v>
      </c>
      <c r="M78">
        <v>79.3</v>
      </c>
      <c r="N78">
        <v>3590</v>
      </c>
      <c r="O78">
        <v>254</v>
      </c>
      <c r="P78">
        <v>79.3</v>
      </c>
      <c r="Q78">
        <v>351</v>
      </c>
      <c r="R78">
        <v>456</v>
      </c>
      <c r="S78">
        <v>0.1763888888888889</v>
      </c>
      <c r="T78" t="s">
        <v>58</v>
      </c>
      <c r="U78">
        <v>15385</v>
      </c>
      <c r="V78">
        <v>38</v>
      </c>
      <c r="W78">
        <v>34</v>
      </c>
      <c r="X78">
        <v>1440</v>
      </c>
      <c r="Y78">
        <v>13.9</v>
      </c>
      <c r="Z78" t="s">
        <v>66</v>
      </c>
      <c r="AA78">
        <v>48</v>
      </c>
      <c r="AB78">
        <v>52</v>
      </c>
      <c r="AC78" t="s">
        <v>53</v>
      </c>
      <c r="AD78">
        <v>11006</v>
      </c>
      <c r="AE78">
        <v>5929</v>
      </c>
      <c r="AF78">
        <v>614.48</v>
      </c>
      <c r="AG78">
        <v>69</v>
      </c>
      <c r="AH78">
        <v>1</v>
      </c>
      <c r="AI78">
        <v>50.817340579710141</v>
      </c>
      <c r="AJ78">
        <v>35.82</v>
      </c>
      <c r="AK78">
        <v>38.92</v>
      </c>
      <c r="AL78">
        <v>35.29</v>
      </c>
      <c r="AM78">
        <v>122</v>
      </c>
      <c r="AN78">
        <v>91.42</v>
      </c>
      <c r="AO78">
        <v>229.98</v>
      </c>
      <c r="AP78">
        <v>13.9</v>
      </c>
      <c r="AQ78">
        <v>38</v>
      </c>
      <c r="AR78">
        <v>55.7</v>
      </c>
    </row>
    <row r="79" spans="1:44" x14ac:dyDescent="0.3">
      <c r="A79">
        <v>78</v>
      </c>
      <c r="B79" t="s">
        <v>381</v>
      </c>
      <c r="C79">
        <v>2024</v>
      </c>
      <c r="D79" t="s">
        <v>382</v>
      </c>
      <c r="E79">
        <v>1</v>
      </c>
      <c r="F79" t="s">
        <v>383</v>
      </c>
      <c r="G79" t="s">
        <v>384</v>
      </c>
      <c r="H79" t="s">
        <v>48</v>
      </c>
      <c r="I79" t="s">
        <v>385</v>
      </c>
      <c r="J79" t="s">
        <v>50</v>
      </c>
      <c r="K79">
        <v>69.3</v>
      </c>
      <c r="L79">
        <v>71.2</v>
      </c>
      <c r="M79">
        <v>48.3</v>
      </c>
      <c r="N79">
        <v>19041</v>
      </c>
      <c r="O79">
        <v>128968</v>
      </c>
      <c r="P79">
        <v>48.3</v>
      </c>
      <c r="Q79">
        <v>379</v>
      </c>
      <c r="R79">
        <v>68.599999999999994</v>
      </c>
      <c r="S79">
        <v>5.95</v>
      </c>
      <c r="T79" t="s">
        <v>96</v>
      </c>
      <c r="U79">
        <v>38978</v>
      </c>
      <c r="V79">
        <v>19</v>
      </c>
      <c r="W79">
        <v>23</v>
      </c>
      <c r="X79">
        <v>1659</v>
      </c>
      <c r="Y79">
        <v>25.7</v>
      </c>
      <c r="Z79" t="s">
        <v>386</v>
      </c>
      <c r="AA79">
        <v>36</v>
      </c>
      <c r="AB79">
        <v>64</v>
      </c>
      <c r="AC79" t="s">
        <v>53</v>
      </c>
      <c r="AD79">
        <v>26614</v>
      </c>
      <c r="AE79">
        <v>13179</v>
      </c>
      <c r="AF79">
        <v>644.77</v>
      </c>
      <c r="AG79">
        <v>18</v>
      </c>
      <c r="AH79">
        <v>181</v>
      </c>
      <c r="AI79">
        <v>47.393000000000001</v>
      </c>
      <c r="AJ79">
        <v>35.17</v>
      </c>
      <c r="AK79">
        <v>47.49</v>
      </c>
      <c r="AL79">
        <v>13.04</v>
      </c>
      <c r="AM79">
        <v>123</v>
      </c>
      <c r="AN79">
        <v>91.35</v>
      </c>
      <c r="AO79">
        <v>56.42</v>
      </c>
      <c r="AP79">
        <v>25.7</v>
      </c>
      <c r="AQ79">
        <v>19</v>
      </c>
      <c r="AR79">
        <v>55.2</v>
      </c>
    </row>
    <row r="80" spans="1:44" x14ac:dyDescent="0.3">
      <c r="A80">
        <v>79</v>
      </c>
      <c r="B80" t="s">
        <v>387</v>
      </c>
      <c r="C80">
        <v>2024</v>
      </c>
      <c r="D80">
        <f>124</f>
        <v>124</v>
      </c>
      <c r="E80">
        <v>11</v>
      </c>
      <c r="F80" t="s">
        <v>388</v>
      </c>
      <c r="G80" t="s">
        <v>180</v>
      </c>
      <c r="H80" t="s">
        <v>48</v>
      </c>
      <c r="I80" t="s">
        <v>389</v>
      </c>
      <c r="J80" t="s">
        <v>50</v>
      </c>
      <c r="K80">
        <v>29.3</v>
      </c>
      <c r="L80">
        <v>76.2</v>
      </c>
      <c r="M80">
        <v>89.7</v>
      </c>
      <c r="N80">
        <v>2418</v>
      </c>
      <c r="O80">
        <v>541</v>
      </c>
      <c r="P80">
        <v>89.7</v>
      </c>
      <c r="Q80">
        <v>284</v>
      </c>
      <c r="R80">
        <v>377</v>
      </c>
      <c r="S80">
        <v>0.47248908296943232</v>
      </c>
      <c r="T80" t="s">
        <v>51</v>
      </c>
      <c r="U80">
        <v>10611</v>
      </c>
      <c r="V80">
        <v>27</v>
      </c>
      <c r="W80">
        <v>36</v>
      </c>
      <c r="X80">
        <v>1145</v>
      </c>
      <c r="Y80">
        <v>21.4</v>
      </c>
      <c r="Z80" t="s">
        <v>390</v>
      </c>
      <c r="AA80">
        <v>30</v>
      </c>
      <c r="AB80">
        <v>70</v>
      </c>
      <c r="AC80" t="s">
        <v>53</v>
      </c>
      <c r="AD80">
        <v>7954</v>
      </c>
      <c r="AE80">
        <v>2869</v>
      </c>
      <c r="AF80">
        <v>159</v>
      </c>
      <c r="AG80">
        <v>9</v>
      </c>
      <c r="AH80">
        <v>48</v>
      </c>
      <c r="AI80">
        <v>67.177444444444447</v>
      </c>
      <c r="AJ80">
        <v>55.29</v>
      </c>
      <c r="AK80">
        <v>72.84</v>
      </c>
      <c r="AL80">
        <v>31.25</v>
      </c>
      <c r="AM80">
        <v>124</v>
      </c>
      <c r="AN80">
        <v>91.28</v>
      </c>
      <c r="AO80">
        <v>204.62</v>
      </c>
      <c r="AP80">
        <v>21.4</v>
      </c>
      <c r="AQ80">
        <v>27</v>
      </c>
      <c r="AR80">
        <v>55</v>
      </c>
    </row>
    <row r="81" spans="1:44" x14ac:dyDescent="0.3">
      <c r="A81">
        <v>80</v>
      </c>
      <c r="B81" t="s">
        <v>391</v>
      </c>
      <c r="C81">
        <v>2024</v>
      </c>
      <c r="D81">
        <f>124</f>
        <v>124</v>
      </c>
      <c r="E81">
        <v>4</v>
      </c>
      <c r="F81" t="s">
        <v>388</v>
      </c>
      <c r="G81" t="s">
        <v>294</v>
      </c>
      <c r="H81" t="s">
        <v>48</v>
      </c>
      <c r="I81" t="s">
        <v>392</v>
      </c>
      <c r="J81" t="s">
        <v>50</v>
      </c>
      <c r="K81">
        <v>27.8</v>
      </c>
      <c r="L81">
        <v>17.8</v>
      </c>
      <c r="M81">
        <v>96.5</v>
      </c>
      <c r="N81">
        <v>2697</v>
      </c>
      <c r="O81">
        <v>139</v>
      </c>
      <c r="P81">
        <v>96.5</v>
      </c>
      <c r="Q81">
        <v>141</v>
      </c>
      <c r="R81">
        <v>218</v>
      </c>
      <c r="S81">
        <v>0.1341698841698841</v>
      </c>
      <c r="T81" t="s">
        <v>71</v>
      </c>
      <c r="U81">
        <v>8536</v>
      </c>
      <c r="V81">
        <v>31</v>
      </c>
      <c r="W81">
        <v>32</v>
      </c>
      <c r="X81">
        <v>1036</v>
      </c>
      <c r="Y81">
        <v>10.4</v>
      </c>
      <c r="Z81" t="s">
        <v>116</v>
      </c>
      <c r="AA81">
        <v>57</v>
      </c>
      <c r="AB81">
        <v>43</v>
      </c>
      <c r="AC81" t="s">
        <v>53</v>
      </c>
      <c r="AD81">
        <v>6183</v>
      </c>
      <c r="AE81">
        <v>2472</v>
      </c>
      <c r="AF81">
        <v>428.7</v>
      </c>
      <c r="AG81">
        <v>5</v>
      </c>
      <c r="AH81">
        <v>80</v>
      </c>
      <c r="AI81">
        <v>64.5411</v>
      </c>
      <c r="AJ81">
        <v>43.78</v>
      </c>
      <c r="AK81">
        <v>56.61</v>
      </c>
      <c r="AL81">
        <v>32.76</v>
      </c>
      <c r="AM81">
        <v>124</v>
      </c>
      <c r="AN81">
        <v>91.28</v>
      </c>
      <c r="AO81">
        <v>145.1</v>
      </c>
      <c r="AP81">
        <v>10.4</v>
      </c>
      <c r="AQ81">
        <v>31</v>
      </c>
      <c r="AR81">
        <v>55</v>
      </c>
    </row>
    <row r="82" spans="1:44" x14ac:dyDescent="0.3">
      <c r="A82">
        <v>81</v>
      </c>
      <c r="B82" t="s">
        <v>393</v>
      </c>
      <c r="C82">
        <v>2024</v>
      </c>
      <c r="D82">
        <f>126</f>
        <v>126</v>
      </c>
      <c r="E82">
        <v>2</v>
      </c>
      <c r="F82" t="s">
        <v>394</v>
      </c>
      <c r="G82" t="s">
        <v>180</v>
      </c>
      <c r="H82" t="s">
        <v>48</v>
      </c>
      <c r="I82" t="s">
        <v>395</v>
      </c>
      <c r="J82" t="s">
        <v>50</v>
      </c>
      <c r="K82">
        <v>69.099999999999994</v>
      </c>
      <c r="L82">
        <v>26.8</v>
      </c>
      <c r="M82">
        <v>62.7</v>
      </c>
      <c r="N82">
        <v>19094</v>
      </c>
      <c r="O82">
        <v>80</v>
      </c>
      <c r="P82">
        <v>62.7</v>
      </c>
      <c r="Q82">
        <v>545</v>
      </c>
      <c r="R82">
        <v>118</v>
      </c>
      <c r="S82">
        <v>3.8666022232962699E-2</v>
      </c>
      <c r="T82" t="s">
        <v>77</v>
      </c>
      <c r="U82">
        <v>35072</v>
      </c>
      <c r="V82">
        <v>21</v>
      </c>
      <c r="W82">
        <v>22</v>
      </c>
      <c r="X82">
        <v>2069</v>
      </c>
      <c r="Y82">
        <v>19.3</v>
      </c>
      <c r="Z82" t="s">
        <v>202</v>
      </c>
      <c r="AA82">
        <v>58</v>
      </c>
      <c r="AB82">
        <v>42</v>
      </c>
      <c r="AC82" t="s">
        <v>53</v>
      </c>
      <c r="AD82">
        <v>23505</v>
      </c>
      <c r="AE82">
        <v>10936</v>
      </c>
      <c r="AF82">
        <v>159</v>
      </c>
      <c r="AG82">
        <v>9</v>
      </c>
      <c r="AH82">
        <v>48</v>
      </c>
      <c r="AI82">
        <v>67.177444444444447</v>
      </c>
      <c r="AJ82">
        <v>55.29</v>
      </c>
      <c r="AK82">
        <v>72.84</v>
      </c>
      <c r="AL82">
        <v>31.25</v>
      </c>
      <c r="AM82">
        <v>126</v>
      </c>
      <c r="AN82">
        <v>91.14</v>
      </c>
      <c r="AO82">
        <v>84.82</v>
      </c>
      <c r="AP82">
        <v>19.3</v>
      </c>
      <c r="AQ82">
        <v>21</v>
      </c>
      <c r="AR82">
        <v>54.8</v>
      </c>
    </row>
    <row r="83" spans="1:44" x14ac:dyDescent="0.3">
      <c r="A83">
        <v>82</v>
      </c>
      <c r="B83" t="s">
        <v>396</v>
      </c>
      <c r="C83">
        <v>2024</v>
      </c>
      <c r="D83">
        <f>126</f>
        <v>126</v>
      </c>
      <c r="E83">
        <v>6</v>
      </c>
      <c r="F83" t="s">
        <v>394</v>
      </c>
      <c r="G83" t="s">
        <v>294</v>
      </c>
      <c r="H83" t="s">
        <v>48</v>
      </c>
      <c r="I83" t="s">
        <v>397</v>
      </c>
      <c r="J83" t="s">
        <v>50</v>
      </c>
      <c r="K83">
        <v>30.5</v>
      </c>
      <c r="L83">
        <v>24.4</v>
      </c>
      <c r="M83">
        <v>99.2</v>
      </c>
      <c r="N83">
        <v>3107</v>
      </c>
      <c r="O83">
        <v>85</v>
      </c>
      <c r="P83">
        <v>99.2</v>
      </c>
      <c r="Q83">
        <v>223</v>
      </c>
      <c r="R83">
        <v>160</v>
      </c>
      <c r="S83">
        <v>7.0132013201320106E-2</v>
      </c>
      <c r="T83" t="s">
        <v>58</v>
      </c>
      <c r="U83">
        <v>12399</v>
      </c>
      <c r="V83">
        <v>16</v>
      </c>
      <c r="W83">
        <v>18</v>
      </c>
      <c r="X83">
        <v>1212</v>
      </c>
      <c r="Y83">
        <v>18.2</v>
      </c>
      <c r="Z83" t="s">
        <v>82</v>
      </c>
      <c r="AA83">
        <v>59</v>
      </c>
      <c r="AB83">
        <v>41</v>
      </c>
      <c r="AC83" t="s">
        <v>53</v>
      </c>
      <c r="AD83">
        <v>7325</v>
      </c>
      <c r="AE83">
        <v>4634</v>
      </c>
      <c r="AF83">
        <v>428.7</v>
      </c>
      <c r="AG83">
        <v>5</v>
      </c>
      <c r="AH83">
        <v>80</v>
      </c>
      <c r="AI83">
        <v>64.5411</v>
      </c>
      <c r="AJ83">
        <v>43.78</v>
      </c>
      <c r="AK83">
        <v>56.61</v>
      </c>
      <c r="AL83">
        <v>32.76</v>
      </c>
      <c r="AM83">
        <v>126</v>
      </c>
      <c r="AN83">
        <v>91.14</v>
      </c>
      <c r="AO83">
        <v>123.52</v>
      </c>
      <c r="AP83">
        <v>18.2</v>
      </c>
      <c r="AQ83">
        <v>16</v>
      </c>
      <c r="AR83">
        <v>54.8</v>
      </c>
    </row>
    <row r="84" spans="1:44" x14ac:dyDescent="0.3">
      <c r="A84">
        <v>83</v>
      </c>
      <c r="B84" t="s">
        <v>398</v>
      </c>
      <c r="C84">
        <v>2024</v>
      </c>
      <c r="D84" t="s">
        <v>399</v>
      </c>
      <c r="E84">
        <v>2</v>
      </c>
      <c r="F84" t="s">
        <v>400</v>
      </c>
      <c r="G84" t="s">
        <v>294</v>
      </c>
      <c r="H84" t="s">
        <v>48</v>
      </c>
      <c r="I84" t="s">
        <v>401</v>
      </c>
      <c r="J84" t="s">
        <v>50</v>
      </c>
      <c r="K84">
        <v>45.1</v>
      </c>
      <c r="L84">
        <v>14.1</v>
      </c>
      <c r="M84">
        <v>75.400000000000006</v>
      </c>
      <c r="N84">
        <v>6489</v>
      </c>
      <c r="O84">
        <v>72</v>
      </c>
      <c r="P84">
        <v>75.400000000000006</v>
      </c>
      <c r="Q84">
        <v>248</v>
      </c>
      <c r="R84">
        <v>147</v>
      </c>
      <c r="S84">
        <v>3.96912899669239E-2</v>
      </c>
      <c r="T84" t="s">
        <v>51</v>
      </c>
      <c r="U84">
        <v>18865</v>
      </c>
      <c r="V84">
        <v>40</v>
      </c>
      <c r="W84">
        <v>41</v>
      </c>
      <c r="X84">
        <v>1814</v>
      </c>
      <c r="Y84">
        <v>8.4</v>
      </c>
      <c r="Z84" t="s">
        <v>326</v>
      </c>
      <c r="AA84">
        <v>63</v>
      </c>
      <c r="AB84">
        <v>37</v>
      </c>
      <c r="AC84" t="s">
        <v>53</v>
      </c>
      <c r="AD84">
        <v>12387</v>
      </c>
      <c r="AE84">
        <v>5294</v>
      </c>
      <c r="AF84">
        <v>428.7</v>
      </c>
      <c r="AG84">
        <v>5</v>
      </c>
      <c r="AH84">
        <v>80</v>
      </c>
      <c r="AI84">
        <v>64.5411</v>
      </c>
      <c r="AJ84">
        <v>43.78</v>
      </c>
      <c r="AK84">
        <v>56.61</v>
      </c>
      <c r="AL84">
        <v>32.76</v>
      </c>
      <c r="AM84">
        <v>128</v>
      </c>
      <c r="AN84">
        <v>90.99</v>
      </c>
      <c r="AO84">
        <v>104.04</v>
      </c>
      <c r="AP84">
        <v>8.4</v>
      </c>
      <c r="AQ84">
        <v>40</v>
      </c>
      <c r="AR84">
        <v>54.2</v>
      </c>
    </row>
    <row r="85" spans="1:44" x14ac:dyDescent="0.3">
      <c r="A85">
        <v>84</v>
      </c>
      <c r="B85" t="s">
        <v>402</v>
      </c>
      <c r="C85">
        <v>2024</v>
      </c>
      <c r="D85" t="s">
        <v>403</v>
      </c>
      <c r="E85">
        <v>10</v>
      </c>
      <c r="F85" t="s">
        <v>404</v>
      </c>
      <c r="G85" t="s">
        <v>282</v>
      </c>
      <c r="H85" t="s">
        <v>48</v>
      </c>
      <c r="I85" t="s">
        <v>405</v>
      </c>
      <c r="J85" t="s">
        <v>65</v>
      </c>
      <c r="K85">
        <v>26.6</v>
      </c>
      <c r="L85">
        <v>51.5</v>
      </c>
      <c r="M85">
        <v>80.900000000000006</v>
      </c>
      <c r="N85">
        <v>3362</v>
      </c>
      <c r="O85">
        <v>673</v>
      </c>
      <c r="P85">
        <v>80.900000000000006</v>
      </c>
      <c r="Q85">
        <v>184</v>
      </c>
      <c r="R85">
        <v>408</v>
      </c>
      <c r="S85">
        <v>0.26919999999999999</v>
      </c>
      <c r="T85" t="s">
        <v>77</v>
      </c>
      <c r="U85">
        <v>10103</v>
      </c>
      <c r="V85">
        <v>17</v>
      </c>
      <c r="W85">
        <v>18</v>
      </c>
      <c r="X85">
        <v>2500</v>
      </c>
      <c r="Y85">
        <v>15.4</v>
      </c>
      <c r="Z85" t="s">
        <v>272</v>
      </c>
      <c r="AA85">
        <v>33</v>
      </c>
      <c r="AB85">
        <v>67</v>
      </c>
      <c r="AC85" t="s">
        <v>53</v>
      </c>
      <c r="AD85">
        <v>7565</v>
      </c>
      <c r="AE85">
        <v>2680</v>
      </c>
      <c r="AF85">
        <v>329.54</v>
      </c>
      <c r="AG85">
        <v>6</v>
      </c>
      <c r="AH85">
        <v>106</v>
      </c>
      <c r="AI85">
        <v>60.135250000000013</v>
      </c>
      <c r="AJ85">
        <v>52.01</v>
      </c>
      <c r="AK85">
        <v>53.18</v>
      </c>
      <c r="AL85">
        <v>14.92</v>
      </c>
      <c r="AM85">
        <v>129</v>
      </c>
      <c r="AN85">
        <v>90.92</v>
      </c>
      <c r="AO85">
        <v>211.74</v>
      </c>
      <c r="AP85">
        <v>15.4</v>
      </c>
      <c r="AQ85">
        <v>17</v>
      </c>
      <c r="AR85">
        <v>54</v>
      </c>
    </row>
    <row r="86" spans="1:44" x14ac:dyDescent="0.3">
      <c r="A86">
        <v>85</v>
      </c>
      <c r="B86" t="s">
        <v>406</v>
      </c>
      <c r="C86">
        <v>2024</v>
      </c>
      <c r="D86">
        <f>130</f>
        <v>130</v>
      </c>
      <c r="E86">
        <v>10</v>
      </c>
      <c r="F86" t="s">
        <v>407</v>
      </c>
      <c r="G86" t="s">
        <v>107</v>
      </c>
      <c r="H86" t="s">
        <v>108</v>
      </c>
      <c r="I86" t="s">
        <v>109</v>
      </c>
      <c r="J86" t="s">
        <v>50</v>
      </c>
      <c r="K86">
        <v>31.6</v>
      </c>
      <c r="L86">
        <v>41</v>
      </c>
      <c r="M86">
        <v>81.3</v>
      </c>
      <c r="N86">
        <v>11287</v>
      </c>
      <c r="O86">
        <v>327</v>
      </c>
      <c r="P86">
        <v>81.3</v>
      </c>
      <c r="Q86">
        <v>465</v>
      </c>
      <c r="R86">
        <v>393</v>
      </c>
      <c r="S86">
        <v>0.1851642129105322</v>
      </c>
      <c r="T86" t="s">
        <v>77</v>
      </c>
      <c r="U86">
        <v>30371</v>
      </c>
      <c r="V86">
        <v>22</v>
      </c>
      <c r="W86">
        <v>25</v>
      </c>
      <c r="X86">
        <v>1766</v>
      </c>
      <c r="Y86">
        <v>51.7</v>
      </c>
      <c r="Z86" t="s">
        <v>408</v>
      </c>
      <c r="AA86">
        <v>44.527896079999998</v>
      </c>
      <c r="AB86">
        <v>55.472103920000002</v>
      </c>
      <c r="AC86" t="s">
        <v>53</v>
      </c>
      <c r="AD86">
        <v>20835</v>
      </c>
      <c r="AE86">
        <v>8991</v>
      </c>
      <c r="AF86">
        <v>373.87</v>
      </c>
      <c r="AG86">
        <v>21</v>
      </c>
      <c r="AH86">
        <v>54</v>
      </c>
      <c r="AI86">
        <v>57.368190476190478</v>
      </c>
      <c r="AJ86">
        <v>42.18</v>
      </c>
      <c r="AK86">
        <v>66.97</v>
      </c>
      <c r="AL86">
        <v>30.67</v>
      </c>
      <c r="AM86">
        <v>130</v>
      </c>
      <c r="AN86">
        <v>90.85</v>
      </c>
      <c r="AO86">
        <v>205.98</v>
      </c>
      <c r="AP86">
        <v>51.7</v>
      </c>
      <c r="AQ86">
        <v>22</v>
      </c>
      <c r="AR86">
        <v>53.7</v>
      </c>
    </row>
    <row r="87" spans="1:44" x14ac:dyDescent="0.3">
      <c r="A87">
        <v>86</v>
      </c>
      <c r="B87" t="s">
        <v>409</v>
      </c>
      <c r="C87">
        <v>2024</v>
      </c>
      <c r="D87">
        <f>130</f>
        <v>130</v>
      </c>
      <c r="E87">
        <v>1</v>
      </c>
      <c r="F87" t="s">
        <v>407</v>
      </c>
      <c r="G87" t="s">
        <v>410</v>
      </c>
      <c r="H87" t="s">
        <v>48</v>
      </c>
      <c r="I87" t="s">
        <v>411</v>
      </c>
      <c r="J87" t="s">
        <v>50</v>
      </c>
      <c r="K87">
        <v>70.8</v>
      </c>
      <c r="L87">
        <v>42.5</v>
      </c>
      <c r="M87">
        <v>14.5</v>
      </c>
      <c r="N87">
        <v>12590</v>
      </c>
      <c r="O87">
        <v>174</v>
      </c>
      <c r="P87">
        <v>14.5</v>
      </c>
      <c r="Q87">
        <v>235</v>
      </c>
      <c r="R87">
        <v>249</v>
      </c>
      <c r="S87">
        <v>4.7841627715149798E-2</v>
      </c>
      <c r="T87" t="s">
        <v>77</v>
      </c>
      <c r="U87">
        <v>31318</v>
      </c>
      <c r="V87">
        <v>31</v>
      </c>
      <c r="W87">
        <v>34</v>
      </c>
      <c r="X87">
        <v>3637</v>
      </c>
      <c r="Y87">
        <v>37.4</v>
      </c>
      <c r="Z87" t="s">
        <v>368</v>
      </c>
      <c r="AA87">
        <v>65</v>
      </c>
      <c r="AB87">
        <v>35</v>
      </c>
      <c r="AC87" t="s">
        <v>53</v>
      </c>
      <c r="AD87">
        <v>17835</v>
      </c>
      <c r="AE87">
        <v>12393</v>
      </c>
      <c r="AF87">
        <v>435</v>
      </c>
      <c r="AG87">
        <v>3</v>
      </c>
      <c r="AH87">
        <v>119</v>
      </c>
      <c r="AI87">
        <v>51.205833333333331</v>
      </c>
      <c r="AJ87">
        <v>43.87</v>
      </c>
      <c r="AK87">
        <v>38.33</v>
      </c>
      <c r="AL87">
        <v>33</v>
      </c>
      <c r="AM87">
        <v>130</v>
      </c>
      <c r="AN87">
        <v>90.85</v>
      </c>
      <c r="AO87">
        <v>108.3</v>
      </c>
      <c r="AP87">
        <v>37.4</v>
      </c>
      <c r="AQ87">
        <v>31</v>
      </c>
      <c r="AR87">
        <v>53.7</v>
      </c>
    </row>
    <row r="88" spans="1:44" x14ac:dyDescent="0.3">
      <c r="A88">
        <v>87</v>
      </c>
      <c r="B88" t="s">
        <v>412</v>
      </c>
      <c r="C88">
        <v>2024</v>
      </c>
      <c r="D88">
        <f>132</f>
        <v>132</v>
      </c>
      <c r="E88">
        <v>29</v>
      </c>
      <c r="F88" t="s">
        <v>413</v>
      </c>
      <c r="G88" t="s">
        <v>63</v>
      </c>
      <c r="H88" t="s">
        <v>64</v>
      </c>
      <c r="I88" t="s">
        <v>414</v>
      </c>
      <c r="J88" t="s">
        <v>50</v>
      </c>
      <c r="K88">
        <v>63.9</v>
      </c>
      <c r="L88">
        <v>44.7</v>
      </c>
      <c r="M88">
        <v>40.700000000000003</v>
      </c>
      <c r="N88">
        <v>2610</v>
      </c>
      <c r="O88">
        <v>31</v>
      </c>
      <c r="P88">
        <v>40.700000000000003</v>
      </c>
      <c r="Q88">
        <v>291</v>
      </c>
      <c r="R88">
        <v>42</v>
      </c>
      <c r="S88">
        <v>9.0643274853800995E-3</v>
      </c>
      <c r="T88" t="s">
        <v>96</v>
      </c>
      <c r="U88">
        <v>37926</v>
      </c>
      <c r="V88">
        <v>18</v>
      </c>
      <c r="W88">
        <v>22</v>
      </c>
      <c r="X88">
        <v>3420</v>
      </c>
      <c r="Y88">
        <v>13.3</v>
      </c>
      <c r="Z88" t="s">
        <v>202</v>
      </c>
      <c r="AA88">
        <v>58</v>
      </c>
      <c r="AB88">
        <v>42</v>
      </c>
      <c r="AC88" t="s">
        <v>53</v>
      </c>
      <c r="AD88">
        <v>31481</v>
      </c>
      <c r="AE88">
        <v>7084</v>
      </c>
      <c r="AF88">
        <v>647.61</v>
      </c>
      <c r="AG88">
        <v>98</v>
      </c>
      <c r="AH88">
        <v>2</v>
      </c>
      <c r="AI88">
        <v>56.843244897959181</v>
      </c>
      <c r="AJ88">
        <v>29.74</v>
      </c>
      <c r="AK88">
        <v>38.11</v>
      </c>
      <c r="AL88">
        <v>19.260000000000002</v>
      </c>
      <c r="AM88">
        <v>132</v>
      </c>
      <c r="AN88">
        <v>90.71</v>
      </c>
      <c r="AO88">
        <v>41.22</v>
      </c>
      <c r="AP88">
        <v>13.3</v>
      </c>
      <c r="AQ88">
        <v>18</v>
      </c>
      <c r="AR88">
        <v>53.2</v>
      </c>
    </row>
    <row r="89" spans="1:44" x14ac:dyDescent="0.3">
      <c r="A89">
        <v>88</v>
      </c>
      <c r="B89" t="s">
        <v>415</v>
      </c>
      <c r="C89">
        <v>2024</v>
      </c>
      <c r="D89">
        <f>134</f>
        <v>134</v>
      </c>
      <c r="E89">
        <v>1</v>
      </c>
      <c r="F89" t="s">
        <v>416</v>
      </c>
      <c r="G89" t="s">
        <v>384</v>
      </c>
      <c r="H89" t="s">
        <v>48</v>
      </c>
      <c r="I89" t="s">
        <v>417</v>
      </c>
      <c r="J89" t="s">
        <v>50</v>
      </c>
      <c r="K89">
        <v>79.2</v>
      </c>
      <c r="L89">
        <v>41</v>
      </c>
      <c r="M89">
        <v>44.9</v>
      </c>
      <c r="N89">
        <v>21399</v>
      </c>
      <c r="O89">
        <v>71</v>
      </c>
      <c r="P89">
        <v>44.9</v>
      </c>
      <c r="Q89">
        <v>424</v>
      </c>
      <c r="R89">
        <v>61</v>
      </c>
      <c r="S89">
        <v>2.1600243383024E-2</v>
      </c>
      <c r="T89" t="s">
        <v>96</v>
      </c>
      <c r="U89">
        <v>60522</v>
      </c>
      <c r="V89">
        <v>9</v>
      </c>
      <c r="W89">
        <v>7</v>
      </c>
      <c r="X89">
        <v>3287</v>
      </c>
      <c r="Y89">
        <v>22.2</v>
      </c>
      <c r="Z89" t="s">
        <v>138</v>
      </c>
      <c r="AA89">
        <v>61</v>
      </c>
      <c r="AB89">
        <v>39</v>
      </c>
      <c r="AC89" t="s">
        <v>53</v>
      </c>
      <c r="AD89">
        <v>40203</v>
      </c>
      <c r="AE89">
        <v>20225</v>
      </c>
      <c r="AF89">
        <v>644.77</v>
      </c>
      <c r="AG89">
        <v>18</v>
      </c>
      <c r="AH89">
        <v>181</v>
      </c>
      <c r="AI89">
        <v>47.393000000000001</v>
      </c>
      <c r="AJ89">
        <v>35.17</v>
      </c>
      <c r="AK89">
        <v>47.49</v>
      </c>
      <c r="AL89">
        <v>13.04</v>
      </c>
      <c r="AM89">
        <v>134</v>
      </c>
      <c r="AN89">
        <v>90.56</v>
      </c>
      <c r="AO89">
        <v>51.34</v>
      </c>
      <c r="AP89">
        <v>22.2</v>
      </c>
      <c r="AQ89">
        <v>9</v>
      </c>
      <c r="AR89">
        <v>52.9</v>
      </c>
    </row>
    <row r="90" spans="1:44" x14ac:dyDescent="0.3">
      <c r="A90">
        <v>89</v>
      </c>
      <c r="B90" t="s">
        <v>418</v>
      </c>
      <c r="C90">
        <v>2024</v>
      </c>
      <c r="D90">
        <f>134</f>
        <v>134</v>
      </c>
      <c r="E90">
        <v>32</v>
      </c>
      <c r="F90" t="s">
        <v>416</v>
      </c>
      <c r="G90" t="s">
        <v>63</v>
      </c>
      <c r="H90" t="s">
        <v>64</v>
      </c>
      <c r="I90" t="s">
        <v>419</v>
      </c>
      <c r="J90" t="s">
        <v>50</v>
      </c>
      <c r="K90">
        <v>62</v>
      </c>
      <c r="L90">
        <v>59.6</v>
      </c>
      <c r="M90">
        <v>68.400000000000006</v>
      </c>
      <c r="N90">
        <v>38009</v>
      </c>
      <c r="O90">
        <v>288327</v>
      </c>
      <c r="P90">
        <v>68.400000000000006</v>
      </c>
      <c r="Q90">
        <v>495</v>
      </c>
      <c r="R90">
        <v>74.2</v>
      </c>
      <c r="S90">
        <v>5</v>
      </c>
      <c r="T90" t="s">
        <v>58</v>
      </c>
      <c r="U90">
        <v>64427</v>
      </c>
      <c r="V90">
        <v>6</v>
      </c>
      <c r="W90">
        <v>8</v>
      </c>
      <c r="X90">
        <v>3049</v>
      </c>
      <c r="Y90">
        <v>20.5</v>
      </c>
      <c r="Z90" t="s">
        <v>72</v>
      </c>
      <c r="AA90">
        <v>47</v>
      </c>
      <c r="AB90">
        <v>53</v>
      </c>
      <c r="AC90" t="s">
        <v>53</v>
      </c>
      <c r="AD90">
        <v>46377</v>
      </c>
      <c r="AE90">
        <v>22109</v>
      </c>
      <c r="AF90">
        <v>647.61</v>
      </c>
      <c r="AG90">
        <v>98</v>
      </c>
      <c r="AH90">
        <v>2</v>
      </c>
      <c r="AI90">
        <v>56.843244897959181</v>
      </c>
      <c r="AJ90">
        <v>29.74</v>
      </c>
      <c r="AK90">
        <v>38.11</v>
      </c>
      <c r="AL90">
        <v>19.260000000000002</v>
      </c>
      <c r="AM90">
        <v>134</v>
      </c>
      <c r="AN90">
        <v>90.56</v>
      </c>
      <c r="AO90">
        <v>70.72</v>
      </c>
      <c r="AP90">
        <v>20.5</v>
      </c>
      <c r="AQ90">
        <v>6</v>
      </c>
      <c r="AR90">
        <v>52.9</v>
      </c>
    </row>
    <row r="91" spans="1:44" x14ac:dyDescent="0.3">
      <c r="A91">
        <v>90</v>
      </c>
      <c r="B91" t="s">
        <v>420</v>
      </c>
      <c r="C91">
        <v>2024</v>
      </c>
      <c r="D91" t="s">
        <v>421</v>
      </c>
      <c r="E91">
        <v>63</v>
      </c>
      <c r="F91" t="s">
        <v>422</v>
      </c>
      <c r="G91" t="s">
        <v>63</v>
      </c>
      <c r="H91" t="s">
        <v>64</v>
      </c>
      <c r="I91" t="s">
        <v>423</v>
      </c>
      <c r="J91" t="s">
        <v>50</v>
      </c>
      <c r="K91">
        <v>59.9</v>
      </c>
      <c r="L91">
        <v>49.4</v>
      </c>
      <c r="M91">
        <v>58</v>
      </c>
      <c r="N91">
        <v>18193</v>
      </c>
      <c r="O91">
        <v>65</v>
      </c>
      <c r="P91">
        <v>58</v>
      </c>
      <c r="Q91">
        <v>443</v>
      </c>
      <c r="R91">
        <v>110</v>
      </c>
      <c r="S91">
        <v>2.1609042553191401E-2</v>
      </c>
      <c r="T91" t="s">
        <v>77</v>
      </c>
      <c r="U91">
        <v>44514</v>
      </c>
      <c r="V91">
        <v>11</v>
      </c>
      <c r="W91">
        <v>10</v>
      </c>
      <c r="X91">
        <v>3008</v>
      </c>
      <c r="Y91">
        <v>16.100000000000001</v>
      </c>
      <c r="Z91" t="s">
        <v>185</v>
      </c>
      <c r="AA91">
        <v>53</v>
      </c>
      <c r="AB91">
        <v>47</v>
      </c>
      <c r="AC91" t="s">
        <v>53</v>
      </c>
      <c r="AD91">
        <v>31824</v>
      </c>
      <c r="AE91">
        <v>13713</v>
      </c>
      <c r="AF91">
        <v>647.61</v>
      </c>
      <c r="AG91">
        <v>98</v>
      </c>
      <c r="AH91">
        <v>2</v>
      </c>
      <c r="AI91">
        <v>56.843244897959181</v>
      </c>
      <c r="AJ91">
        <v>29.74</v>
      </c>
      <c r="AK91">
        <v>38.11</v>
      </c>
      <c r="AL91">
        <v>19.260000000000002</v>
      </c>
      <c r="AM91">
        <v>136</v>
      </c>
      <c r="AN91">
        <v>90.42</v>
      </c>
      <c r="AO91">
        <v>78.8</v>
      </c>
      <c r="AP91">
        <v>16.100000000000001</v>
      </c>
      <c r="AQ91">
        <v>11</v>
      </c>
      <c r="AR91">
        <v>52.7</v>
      </c>
    </row>
    <row r="92" spans="1:44" x14ac:dyDescent="0.3">
      <c r="A92">
        <v>91</v>
      </c>
      <c r="B92" t="s">
        <v>424</v>
      </c>
      <c r="C92">
        <v>2024</v>
      </c>
      <c r="D92">
        <f>137</f>
        <v>137</v>
      </c>
      <c r="E92">
        <v>9</v>
      </c>
      <c r="F92" t="s">
        <v>425</v>
      </c>
      <c r="G92" t="s">
        <v>99</v>
      </c>
      <c r="H92" t="s">
        <v>100</v>
      </c>
      <c r="I92" t="s">
        <v>426</v>
      </c>
      <c r="J92" t="s">
        <v>50</v>
      </c>
      <c r="K92">
        <v>52.5</v>
      </c>
      <c r="L92">
        <v>17.5</v>
      </c>
      <c r="M92">
        <v>98.5</v>
      </c>
      <c r="N92">
        <v>3736</v>
      </c>
      <c r="O92">
        <v>254</v>
      </c>
      <c r="P92">
        <v>98.5</v>
      </c>
      <c r="Q92">
        <v>264</v>
      </c>
      <c r="R92">
        <v>102</v>
      </c>
      <c r="S92">
        <v>9.3796159527326395E-2</v>
      </c>
      <c r="T92" t="s">
        <v>96</v>
      </c>
      <c r="U92">
        <v>20252</v>
      </c>
      <c r="V92">
        <v>5</v>
      </c>
      <c r="W92">
        <v>5</v>
      </c>
      <c r="X92">
        <v>2708</v>
      </c>
      <c r="Y92">
        <v>8.1</v>
      </c>
      <c r="Z92" t="s">
        <v>52</v>
      </c>
      <c r="AA92">
        <v>47.784013770000001</v>
      </c>
      <c r="AB92">
        <v>52.215986229999999</v>
      </c>
      <c r="AC92" t="s">
        <v>53</v>
      </c>
      <c r="AD92">
        <v>13377</v>
      </c>
      <c r="AE92">
        <v>9578</v>
      </c>
      <c r="AF92">
        <v>616.32000000000005</v>
      </c>
      <c r="AG92">
        <v>35</v>
      </c>
      <c r="AH92">
        <v>12</v>
      </c>
      <c r="AI92">
        <v>56.538228571428569</v>
      </c>
      <c r="AJ92">
        <v>21.88</v>
      </c>
      <c r="AK92">
        <v>70.61</v>
      </c>
      <c r="AL92">
        <v>14.17</v>
      </c>
      <c r="AM92">
        <v>137</v>
      </c>
      <c r="AN92">
        <v>90.35</v>
      </c>
      <c r="AO92">
        <v>99.9</v>
      </c>
      <c r="AP92">
        <v>8.1</v>
      </c>
      <c r="AQ92">
        <v>5</v>
      </c>
      <c r="AR92">
        <v>52.6</v>
      </c>
    </row>
    <row r="93" spans="1:44" x14ac:dyDescent="0.3">
      <c r="A93">
        <v>92</v>
      </c>
      <c r="B93" t="s">
        <v>427</v>
      </c>
      <c r="C93">
        <v>2024</v>
      </c>
      <c r="D93" t="s">
        <v>428</v>
      </c>
      <c r="E93">
        <v>3</v>
      </c>
      <c r="F93" t="s">
        <v>429</v>
      </c>
      <c r="G93" t="s">
        <v>180</v>
      </c>
      <c r="H93" t="s">
        <v>48</v>
      </c>
      <c r="I93" t="s">
        <v>430</v>
      </c>
      <c r="J93" t="s">
        <v>50</v>
      </c>
      <c r="K93">
        <v>52.9</v>
      </c>
      <c r="L93">
        <v>29.9</v>
      </c>
      <c r="M93">
        <v>42.9</v>
      </c>
      <c r="N93">
        <v>8289</v>
      </c>
      <c r="O93">
        <v>93</v>
      </c>
      <c r="P93">
        <v>42.9</v>
      </c>
      <c r="Q93">
        <v>375</v>
      </c>
      <c r="R93">
        <v>97</v>
      </c>
      <c r="S93">
        <v>2.4973147153598201E-2</v>
      </c>
      <c r="T93" t="s">
        <v>58</v>
      </c>
      <c r="U93">
        <v>31942</v>
      </c>
      <c r="V93">
        <v>29</v>
      </c>
      <c r="W93">
        <v>28</v>
      </c>
      <c r="X93">
        <v>3724</v>
      </c>
      <c r="Y93">
        <v>28.8</v>
      </c>
      <c r="Z93" t="s">
        <v>337</v>
      </c>
      <c r="AA93">
        <v>54</v>
      </c>
      <c r="AB93">
        <v>46</v>
      </c>
      <c r="AC93" t="s">
        <v>53</v>
      </c>
      <c r="AD93">
        <v>21769</v>
      </c>
      <c r="AE93">
        <v>11329</v>
      </c>
      <c r="AF93">
        <v>159</v>
      </c>
      <c r="AG93">
        <v>9</v>
      </c>
      <c r="AH93">
        <v>48</v>
      </c>
      <c r="AI93">
        <v>67.177444444444447</v>
      </c>
      <c r="AJ93">
        <v>55.29</v>
      </c>
      <c r="AK93">
        <v>72.84</v>
      </c>
      <c r="AL93">
        <v>31.25</v>
      </c>
      <c r="AM93">
        <v>139</v>
      </c>
      <c r="AN93">
        <v>90.21</v>
      </c>
      <c r="AO93">
        <v>64.540000000000006</v>
      </c>
      <c r="AP93">
        <v>28.8</v>
      </c>
      <c r="AQ93">
        <v>29</v>
      </c>
      <c r="AR93">
        <v>52.5</v>
      </c>
    </row>
    <row r="94" spans="1:44" x14ac:dyDescent="0.3">
      <c r="A94">
        <v>93</v>
      </c>
      <c r="B94" t="s">
        <v>431</v>
      </c>
      <c r="C94">
        <v>2024</v>
      </c>
      <c r="D94" t="s">
        <v>432</v>
      </c>
      <c r="E94">
        <v>23</v>
      </c>
      <c r="F94" t="s">
        <v>433</v>
      </c>
      <c r="G94" t="s">
        <v>107</v>
      </c>
      <c r="H94" t="s">
        <v>108</v>
      </c>
      <c r="I94" t="s">
        <v>166</v>
      </c>
      <c r="J94" t="s">
        <v>50</v>
      </c>
      <c r="K94">
        <v>38.6</v>
      </c>
      <c r="L94">
        <v>49.6</v>
      </c>
      <c r="M94">
        <v>68.599999999999994</v>
      </c>
      <c r="N94">
        <v>4910</v>
      </c>
      <c r="O94">
        <v>673</v>
      </c>
      <c r="P94">
        <v>68.599999999999994</v>
      </c>
      <c r="Q94">
        <v>361</v>
      </c>
      <c r="R94">
        <v>544</v>
      </c>
      <c r="S94">
        <v>0.36202259279182358</v>
      </c>
      <c r="T94" t="s">
        <v>96</v>
      </c>
      <c r="U94">
        <v>32574</v>
      </c>
      <c r="V94">
        <v>34</v>
      </c>
      <c r="W94">
        <v>38</v>
      </c>
      <c r="X94">
        <v>1859</v>
      </c>
      <c r="Y94">
        <v>24</v>
      </c>
      <c r="Z94" t="s">
        <v>52</v>
      </c>
      <c r="AA94">
        <v>49</v>
      </c>
      <c r="AB94">
        <v>51</v>
      </c>
      <c r="AC94" t="s">
        <v>53</v>
      </c>
      <c r="AD94">
        <v>22955</v>
      </c>
      <c r="AE94">
        <v>9354</v>
      </c>
      <c r="AF94">
        <v>373.87</v>
      </c>
      <c r="AG94">
        <v>21</v>
      </c>
      <c r="AH94">
        <v>54</v>
      </c>
      <c r="AI94">
        <v>57.368190476190478</v>
      </c>
      <c r="AJ94">
        <v>42.18</v>
      </c>
      <c r="AK94">
        <v>66.97</v>
      </c>
      <c r="AL94">
        <v>30.67</v>
      </c>
      <c r="AM94">
        <v>140</v>
      </c>
      <c r="AN94">
        <v>90.14</v>
      </c>
      <c r="AO94">
        <v>258.76</v>
      </c>
      <c r="AP94">
        <v>24</v>
      </c>
      <c r="AQ94">
        <v>34</v>
      </c>
      <c r="AR94">
        <v>52.4</v>
      </c>
    </row>
    <row r="95" spans="1:44" x14ac:dyDescent="0.3">
      <c r="A95">
        <v>94</v>
      </c>
      <c r="B95" t="s">
        <v>434</v>
      </c>
      <c r="C95">
        <v>2024</v>
      </c>
      <c r="D95">
        <f>141</f>
        <v>141</v>
      </c>
      <c r="E95">
        <v>7</v>
      </c>
      <c r="F95" t="s">
        <v>435</v>
      </c>
      <c r="G95" t="s">
        <v>99</v>
      </c>
      <c r="H95" t="s">
        <v>100</v>
      </c>
      <c r="I95" t="s">
        <v>436</v>
      </c>
      <c r="J95" t="s">
        <v>50</v>
      </c>
      <c r="K95">
        <v>59.6</v>
      </c>
      <c r="L95">
        <v>25.4</v>
      </c>
      <c r="M95">
        <v>96.9</v>
      </c>
      <c r="N95">
        <v>7471</v>
      </c>
      <c r="O95">
        <v>163</v>
      </c>
      <c r="P95">
        <v>96.9</v>
      </c>
      <c r="Q95">
        <v>356</v>
      </c>
      <c r="R95">
        <v>78</v>
      </c>
      <c r="S95">
        <v>5.3618421052631503E-2</v>
      </c>
      <c r="T95" t="s">
        <v>71</v>
      </c>
      <c r="U95">
        <v>36711</v>
      </c>
      <c r="V95">
        <v>8</v>
      </c>
      <c r="W95">
        <v>10</v>
      </c>
      <c r="X95">
        <v>3040</v>
      </c>
      <c r="Y95">
        <v>16.7</v>
      </c>
      <c r="Z95" t="s">
        <v>87</v>
      </c>
      <c r="AA95">
        <v>59</v>
      </c>
      <c r="AB95">
        <v>41</v>
      </c>
      <c r="AC95" t="s">
        <v>53</v>
      </c>
      <c r="AD95">
        <v>21036</v>
      </c>
      <c r="AE95">
        <v>13181</v>
      </c>
      <c r="AF95">
        <v>616.32000000000005</v>
      </c>
      <c r="AG95">
        <v>35</v>
      </c>
      <c r="AH95">
        <v>12</v>
      </c>
      <c r="AI95">
        <v>56.538228571428569</v>
      </c>
      <c r="AJ95">
        <v>21.88</v>
      </c>
      <c r="AK95">
        <v>70.61</v>
      </c>
      <c r="AL95">
        <v>14.17</v>
      </c>
      <c r="AM95">
        <v>141</v>
      </c>
      <c r="AN95">
        <v>90.06</v>
      </c>
      <c r="AO95">
        <v>89.34</v>
      </c>
      <c r="AP95">
        <v>16.7</v>
      </c>
      <c r="AQ95">
        <v>8</v>
      </c>
      <c r="AR95">
        <v>52.1</v>
      </c>
    </row>
    <row r="96" spans="1:44" x14ac:dyDescent="0.3">
      <c r="A96">
        <v>95</v>
      </c>
      <c r="B96" t="s">
        <v>437</v>
      </c>
      <c r="C96">
        <v>2024</v>
      </c>
      <c r="D96">
        <f>143</f>
        <v>143</v>
      </c>
      <c r="E96">
        <v>2</v>
      </c>
      <c r="F96" t="s">
        <v>438</v>
      </c>
      <c r="G96" t="s">
        <v>324</v>
      </c>
      <c r="H96" t="s">
        <v>48</v>
      </c>
      <c r="I96" t="s">
        <v>439</v>
      </c>
      <c r="J96" t="s">
        <v>50</v>
      </c>
      <c r="K96">
        <v>55.8</v>
      </c>
      <c r="L96">
        <v>24.7</v>
      </c>
      <c r="M96">
        <v>54.1</v>
      </c>
      <c r="N96">
        <v>3620</v>
      </c>
      <c r="O96">
        <v>121</v>
      </c>
      <c r="P96">
        <v>54.1</v>
      </c>
      <c r="Q96">
        <v>366</v>
      </c>
      <c r="R96">
        <v>83</v>
      </c>
      <c r="S96">
        <v>0.17715959004392379</v>
      </c>
      <c r="T96" t="s">
        <v>51</v>
      </c>
      <c r="U96">
        <v>26996</v>
      </c>
      <c r="V96">
        <v>9</v>
      </c>
      <c r="W96">
        <v>12</v>
      </c>
      <c r="X96">
        <v>683</v>
      </c>
      <c r="Y96">
        <v>13.5</v>
      </c>
      <c r="Z96" t="s">
        <v>116</v>
      </c>
      <c r="AA96">
        <v>60</v>
      </c>
      <c r="AB96">
        <v>40</v>
      </c>
      <c r="AC96" t="s">
        <v>53</v>
      </c>
      <c r="AD96">
        <v>20760</v>
      </c>
      <c r="AE96">
        <v>4610</v>
      </c>
      <c r="AF96">
        <v>237.83</v>
      </c>
      <c r="AG96">
        <v>4</v>
      </c>
      <c r="AH96">
        <v>103</v>
      </c>
      <c r="AI96">
        <v>63.334375000000001</v>
      </c>
      <c r="AJ96">
        <v>49.09</v>
      </c>
      <c r="AK96">
        <v>65.69</v>
      </c>
      <c r="AL96">
        <v>18</v>
      </c>
      <c r="AM96">
        <v>143</v>
      </c>
      <c r="AN96">
        <v>89.92</v>
      </c>
      <c r="AO96">
        <v>65.66</v>
      </c>
      <c r="AP96">
        <v>13.5</v>
      </c>
      <c r="AQ96">
        <v>9</v>
      </c>
      <c r="AR96">
        <v>52</v>
      </c>
    </row>
    <row r="97" spans="1:44" x14ac:dyDescent="0.3">
      <c r="A97">
        <v>96</v>
      </c>
      <c r="B97" t="s">
        <v>440</v>
      </c>
      <c r="C97">
        <v>2024</v>
      </c>
      <c r="D97">
        <f>145</f>
        <v>145</v>
      </c>
      <c r="E97">
        <v>18</v>
      </c>
      <c r="F97" t="s">
        <v>441</v>
      </c>
      <c r="G97" t="s">
        <v>47</v>
      </c>
      <c r="H97" t="s">
        <v>48</v>
      </c>
      <c r="I97" t="s">
        <v>76</v>
      </c>
      <c r="J97" t="s">
        <v>50</v>
      </c>
      <c r="K97">
        <v>48.8</v>
      </c>
      <c r="L97">
        <v>32.799999999999997</v>
      </c>
      <c r="M97">
        <v>50.7</v>
      </c>
      <c r="N97">
        <v>8809</v>
      </c>
      <c r="O97">
        <v>200</v>
      </c>
      <c r="P97">
        <v>50.7</v>
      </c>
      <c r="Q97">
        <v>314</v>
      </c>
      <c r="R97">
        <v>276</v>
      </c>
      <c r="S97">
        <v>9.4384143463897993E-2</v>
      </c>
      <c r="T97" t="s">
        <v>77</v>
      </c>
      <c r="U97">
        <v>22205</v>
      </c>
      <c r="V97">
        <v>45</v>
      </c>
      <c r="W97">
        <v>46</v>
      </c>
      <c r="X97">
        <v>2119</v>
      </c>
      <c r="Y97">
        <v>14.6</v>
      </c>
      <c r="Z97" t="s">
        <v>87</v>
      </c>
      <c r="AA97">
        <v>53</v>
      </c>
      <c r="AB97">
        <v>47</v>
      </c>
      <c r="AC97" t="s">
        <v>53</v>
      </c>
      <c r="AD97">
        <v>16676</v>
      </c>
      <c r="AE97">
        <v>8459</v>
      </c>
      <c r="AF97">
        <v>614.48</v>
      </c>
      <c r="AG97">
        <v>69</v>
      </c>
      <c r="AH97">
        <v>1</v>
      </c>
      <c r="AI97">
        <v>50.817340579710141</v>
      </c>
      <c r="AJ97">
        <v>35.82</v>
      </c>
      <c r="AK97">
        <v>38.92</v>
      </c>
      <c r="AL97">
        <v>35.29</v>
      </c>
      <c r="AM97">
        <v>145</v>
      </c>
      <c r="AN97">
        <v>89.78</v>
      </c>
      <c r="AO97">
        <v>140.82</v>
      </c>
      <c r="AP97">
        <v>14.6</v>
      </c>
      <c r="AQ97">
        <v>45</v>
      </c>
      <c r="AR97">
        <v>51.9</v>
      </c>
    </row>
    <row r="98" spans="1:44" x14ac:dyDescent="0.3">
      <c r="A98">
        <v>97</v>
      </c>
      <c r="B98" t="s">
        <v>442</v>
      </c>
      <c r="C98">
        <v>2024</v>
      </c>
      <c r="D98">
        <f>145</f>
        <v>145</v>
      </c>
      <c r="E98">
        <v>57</v>
      </c>
      <c r="F98" t="s">
        <v>441</v>
      </c>
      <c r="G98" t="s">
        <v>63</v>
      </c>
      <c r="H98" t="s">
        <v>64</v>
      </c>
      <c r="I98" t="s">
        <v>443</v>
      </c>
      <c r="J98" t="s">
        <v>65</v>
      </c>
      <c r="K98">
        <v>38.700000000000003</v>
      </c>
      <c r="L98">
        <v>22.9</v>
      </c>
      <c r="M98">
        <v>82.5</v>
      </c>
      <c r="N98">
        <v>1492</v>
      </c>
      <c r="O98">
        <v>108</v>
      </c>
      <c r="P98">
        <v>82.5</v>
      </c>
      <c r="Q98">
        <v>172</v>
      </c>
      <c r="R98">
        <v>407</v>
      </c>
      <c r="S98">
        <v>0.108433734939759</v>
      </c>
      <c r="T98" t="s">
        <v>96</v>
      </c>
      <c r="U98">
        <v>7318</v>
      </c>
      <c r="V98">
        <v>26</v>
      </c>
      <c r="W98">
        <v>31</v>
      </c>
      <c r="X98">
        <v>996</v>
      </c>
      <c r="Y98">
        <v>9.8000000000000007</v>
      </c>
      <c r="Z98" t="s">
        <v>78</v>
      </c>
      <c r="AA98">
        <v>43</v>
      </c>
      <c r="AB98">
        <v>57</v>
      </c>
      <c r="AC98" t="s">
        <v>53</v>
      </c>
      <c r="AD98">
        <v>6413</v>
      </c>
      <c r="AE98">
        <v>1810</v>
      </c>
      <c r="AF98">
        <v>647.61</v>
      </c>
      <c r="AG98">
        <v>98</v>
      </c>
      <c r="AH98">
        <v>2</v>
      </c>
      <c r="AI98">
        <v>56.843244897959181</v>
      </c>
      <c r="AJ98">
        <v>29.74</v>
      </c>
      <c r="AK98">
        <v>38.11</v>
      </c>
      <c r="AL98">
        <v>19.260000000000002</v>
      </c>
      <c r="AM98">
        <v>145</v>
      </c>
      <c r="AN98">
        <v>89.78</v>
      </c>
      <c r="AO98">
        <v>212.3</v>
      </c>
      <c r="AP98">
        <v>9.8000000000000007</v>
      </c>
      <c r="AQ98">
        <v>26</v>
      </c>
      <c r="AR98">
        <v>51.9</v>
      </c>
    </row>
    <row r="99" spans="1:44" x14ac:dyDescent="0.3">
      <c r="A99">
        <v>98</v>
      </c>
      <c r="B99" t="s">
        <v>444</v>
      </c>
      <c r="C99">
        <v>2024</v>
      </c>
      <c r="D99" t="s">
        <v>445</v>
      </c>
      <c r="E99">
        <v>33</v>
      </c>
      <c r="F99" t="s">
        <v>446</v>
      </c>
      <c r="G99" t="s">
        <v>47</v>
      </c>
      <c r="H99" t="s">
        <v>48</v>
      </c>
      <c r="I99" t="s">
        <v>447</v>
      </c>
      <c r="J99" t="s">
        <v>50</v>
      </c>
      <c r="K99">
        <v>35.6</v>
      </c>
      <c r="L99">
        <v>74.3</v>
      </c>
      <c r="M99">
        <v>61.9</v>
      </c>
      <c r="N99">
        <v>4477</v>
      </c>
      <c r="O99">
        <v>327</v>
      </c>
      <c r="P99">
        <v>61.9</v>
      </c>
      <c r="Q99">
        <v>166</v>
      </c>
      <c r="R99">
        <v>475</v>
      </c>
      <c r="S99">
        <v>0.2442120985810306</v>
      </c>
      <c r="T99" t="s">
        <v>51</v>
      </c>
      <c r="U99">
        <v>15280</v>
      </c>
      <c r="V99">
        <v>31</v>
      </c>
      <c r="W99">
        <v>29</v>
      </c>
      <c r="X99">
        <v>1339</v>
      </c>
      <c r="Y99">
        <v>15.8</v>
      </c>
      <c r="Z99" t="s">
        <v>408</v>
      </c>
      <c r="AA99">
        <v>46</v>
      </c>
      <c r="AB99">
        <v>54</v>
      </c>
      <c r="AC99" t="s">
        <v>53</v>
      </c>
      <c r="AD99">
        <v>11946</v>
      </c>
      <c r="AE99">
        <v>5704</v>
      </c>
      <c r="AF99">
        <v>614.48</v>
      </c>
      <c r="AG99">
        <v>69</v>
      </c>
      <c r="AH99">
        <v>1</v>
      </c>
      <c r="AI99">
        <v>50.817340579710141</v>
      </c>
      <c r="AJ99">
        <v>35.82</v>
      </c>
      <c r="AK99">
        <v>38.92</v>
      </c>
      <c r="AL99">
        <v>35.29</v>
      </c>
      <c r="AM99">
        <v>148</v>
      </c>
      <c r="AN99">
        <v>89.56</v>
      </c>
      <c r="AO99">
        <v>227.14</v>
      </c>
      <c r="AP99">
        <v>15.8</v>
      </c>
      <c r="AQ99">
        <v>31</v>
      </c>
      <c r="AR99">
        <v>51.8</v>
      </c>
    </row>
    <row r="100" spans="1:44" x14ac:dyDescent="0.3">
      <c r="A100">
        <v>99</v>
      </c>
      <c r="B100" t="s">
        <v>448</v>
      </c>
      <c r="C100">
        <v>2024</v>
      </c>
      <c r="D100">
        <f>151</f>
        <v>151</v>
      </c>
      <c r="E100">
        <v>9</v>
      </c>
      <c r="F100" t="s">
        <v>449</v>
      </c>
      <c r="G100" t="s">
        <v>180</v>
      </c>
      <c r="H100" t="s">
        <v>48</v>
      </c>
      <c r="I100" t="s">
        <v>450</v>
      </c>
      <c r="J100" t="s">
        <v>50</v>
      </c>
      <c r="K100">
        <v>43.3</v>
      </c>
      <c r="L100">
        <v>19</v>
      </c>
      <c r="M100">
        <v>46</v>
      </c>
      <c r="N100">
        <v>2395</v>
      </c>
      <c r="O100">
        <v>43059</v>
      </c>
      <c r="P100">
        <v>46</v>
      </c>
      <c r="Q100">
        <v>169</v>
      </c>
      <c r="R100">
        <v>54.9</v>
      </c>
      <c r="S100">
        <v>2.59</v>
      </c>
      <c r="T100" t="s">
        <v>51</v>
      </c>
      <c r="U100">
        <v>15899</v>
      </c>
      <c r="V100">
        <v>28</v>
      </c>
      <c r="W100">
        <v>31</v>
      </c>
      <c r="X100">
        <v>2767</v>
      </c>
      <c r="Y100">
        <v>18.100000000000001</v>
      </c>
      <c r="Z100" t="s">
        <v>87</v>
      </c>
      <c r="AA100">
        <v>54</v>
      </c>
      <c r="AB100">
        <v>46</v>
      </c>
      <c r="AC100" t="s">
        <v>53</v>
      </c>
      <c r="AD100">
        <v>12906</v>
      </c>
      <c r="AE100">
        <v>2999</v>
      </c>
      <c r="AF100">
        <v>159</v>
      </c>
      <c r="AG100">
        <v>9</v>
      </c>
      <c r="AH100">
        <v>48</v>
      </c>
      <c r="AI100">
        <v>67.177444444444447</v>
      </c>
      <c r="AJ100">
        <v>55.29</v>
      </c>
      <c r="AK100">
        <v>72.84</v>
      </c>
      <c r="AL100">
        <v>31.25</v>
      </c>
      <c r="AM100">
        <v>151</v>
      </c>
      <c r="AN100">
        <v>89.35</v>
      </c>
      <c r="AO100">
        <v>49.56</v>
      </c>
      <c r="AP100">
        <v>18.100000000000001</v>
      </c>
      <c r="AQ100">
        <v>28</v>
      </c>
      <c r="AR100">
        <v>51.3</v>
      </c>
    </row>
    <row r="101" spans="1:44" x14ac:dyDescent="0.3">
      <c r="A101">
        <v>100</v>
      </c>
      <c r="B101" t="s">
        <v>451</v>
      </c>
      <c r="C101">
        <v>2024</v>
      </c>
      <c r="D101">
        <f>154</f>
        <v>154</v>
      </c>
      <c r="E101">
        <v>10</v>
      </c>
      <c r="F101" t="s">
        <v>452</v>
      </c>
      <c r="G101" t="s">
        <v>47</v>
      </c>
      <c r="H101" t="s">
        <v>48</v>
      </c>
      <c r="I101" t="s">
        <v>453</v>
      </c>
      <c r="J101" t="s">
        <v>50</v>
      </c>
      <c r="K101">
        <v>46.5</v>
      </c>
      <c r="L101">
        <v>48.3</v>
      </c>
      <c r="M101">
        <v>39.6</v>
      </c>
      <c r="N101">
        <v>13102</v>
      </c>
      <c r="O101">
        <v>121</v>
      </c>
      <c r="P101">
        <v>39.6</v>
      </c>
      <c r="Q101">
        <v>309</v>
      </c>
      <c r="R101">
        <v>212</v>
      </c>
      <c r="S101">
        <v>3.61194029850746E-2</v>
      </c>
      <c r="T101" t="s">
        <v>58</v>
      </c>
      <c r="U101">
        <v>28815</v>
      </c>
      <c r="V101">
        <v>27</v>
      </c>
      <c r="W101">
        <v>24</v>
      </c>
      <c r="X101">
        <v>3350</v>
      </c>
      <c r="Y101">
        <v>15</v>
      </c>
      <c r="Z101" t="s">
        <v>110</v>
      </c>
      <c r="AA101">
        <v>59</v>
      </c>
      <c r="AB101">
        <v>41</v>
      </c>
      <c r="AC101" t="s">
        <v>53</v>
      </c>
      <c r="AD101">
        <v>19966</v>
      </c>
      <c r="AE101">
        <v>7914</v>
      </c>
      <c r="AF101">
        <v>614.48</v>
      </c>
      <c r="AG101">
        <v>69</v>
      </c>
      <c r="AH101">
        <v>1</v>
      </c>
      <c r="AI101">
        <v>50.817340579710141</v>
      </c>
      <c r="AJ101">
        <v>35.82</v>
      </c>
      <c r="AK101">
        <v>38.92</v>
      </c>
      <c r="AL101">
        <v>35.29</v>
      </c>
      <c r="AM101">
        <v>154</v>
      </c>
      <c r="AN101">
        <v>89.14</v>
      </c>
      <c r="AO101">
        <v>108.56</v>
      </c>
      <c r="AP101">
        <v>15</v>
      </c>
      <c r="AQ101">
        <v>27</v>
      </c>
      <c r="AR101">
        <v>50.5</v>
      </c>
    </row>
    <row r="102" spans="1:44" x14ac:dyDescent="0.3">
      <c r="A102">
        <v>101</v>
      </c>
      <c r="B102" t="s">
        <v>454</v>
      </c>
      <c r="C102">
        <v>2024</v>
      </c>
      <c r="D102">
        <f>159</f>
        <v>159</v>
      </c>
      <c r="E102">
        <v>1</v>
      </c>
      <c r="F102" t="s">
        <v>455</v>
      </c>
      <c r="G102" t="s">
        <v>226</v>
      </c>
      <c r="H102" t="s">
        <v>48</v>
      </c>
      <c r="I102" t="s">
        <v>456</v>
      </c>
      <c r="J102" t="s">
        <v>50</v>
      </c>
      <c r="K102">
        <v>53.4</v>
      </c>
      <c r="L102">
        <v>25.2</v>
      </c>
      <c r="M102">
        <v>25.1</v>
      </c>
      <c r="N102">
        <v>21049</v>
      </c>
      <c r="O102">
        <v>101</v>
      </c>
      <c r="P102">
        <v>25.1</v>
      </c>
      <c r="Q102">
        <v>206</v>
      </c>
      <c r="R102">
        <v>55</v>
      </c>
      <c r="S102">
        <v>1.8240924688459399E-2</v>
      </c>
      <c r="T102" t="s">
        <v>71</v>
      </c>
      <c r="U102">
        <v>41487</v>
      </c>
      <c r="V102">
        <v>12</v>
      </c>
      <c r="W102">
        <v>14</v>
      </c>
      <c r="X102">
        <v>5537</v>
      </c>
      <c r="Y102">
        <v>37.6</v>
      </c>
      <c r="Z102" t="s">
        <v>457</v>
      </c>
      <c r="AA102">
        <v>58</v>
      </c>
      <c r="AB102">
        <v>42</v>
      </c>
      <c r="AC102" t="s">
        <v>53</v>
      </c>
      <c r="AD102">
        <v>31296</v>
      </c>
      <c r="AE102">
        <v>11276</v>
      </c>
      <c r="AF102">
        <v>374.09</v>
      </c>
      <c r="AG102">
        <v>3</v>
      </c>
      <c r="AH102">
        <v>45</v>
      </c>
      <c r="AI102">
        <v>68.016833333333338</v>
      </c>
      <c r="AJ102">
        <v>40.93</v>
      </c>
      <c r="AK102">
        <v>51.76</v>
      </c>
      <c r="AL102">
        <v>20.190000000000001</v>
      </c>
      <c r="AM102">
        <v>159</v>
      </c>
      <c r="AN102">
        <v>88.78</v>
      </c>
      <c r="AO102">
        <v>37.06</v>
      </c>
      <c r="AP102">
        <v>37.6</v>
      </c>
      <c r="AQ102">
        <v>12</v>
      </c>
      <c r="AR102">
        <v>50.2</v>
      </c>
    </row>
    <row r="103" spans="1:44" x14ac:dyDescent="0.3">
      <c r="A103">
        <v>102</v>
      </c>
      <c r="B103" t="s">
        <v>458</v>
      </c>
      <c r="C103">
        <v>2024</v>
      </c>
      <c r="D103" t="s">
        <v>459</v>
      </c>
      <c r="E103">
        <v>14</v>
      </c>
      <c r="F103" t="s">
        <v>460</v>
      </c>
      <c r="G103" t="s">
        <v>107</v>
      </c>
      <c r="H103" t="s">
        <v>108</v>
      </c>
      <c r="I103" t="s">
        <v>461</v>
      </c>
      <c r="J103" t="s">
        <v>50</v>
      </c>
      <c r="K103">
        <v>29.7</v>
      </c>
      <c r="L103">
        <v>25.1</v>
      </c>
      <c r="M103">
        <v>93.8</v>
      </c>
      <c r="N103">
        <v>4590</v>
      </c>
      <c r="O103">
        <v>363</v>
      </c>
      <c r="P103">
        <v>93.8</v>
      </c>
      <c r="Q103">
        <v>301</v>
      </c>
      <c r="R103">
        <v>410</v>
      </c>
      <c r="S103">
        <v>0.25744680851063828</v>
      </c>
      <c r="T103" t="s">
        <v>58</v>
      </c>
      <c r="U103">
        <v>16328</v>
      </c>
      <c r="V103">
        <v>22</v>
      </c>
      <c r="W103">
        <v>32</v>
      </c>
      <c r="X103">
        <v>1410</v>
      </c>
      <c r="Y103">
        <v>26.1</v>
      </c>
      <c r="Z103" t="s">
        <v>146</v>
      </c>
      <c r="AA103">
        <v>54</v>
      </c>
      <c r="AB103">
        <v>46</v>
      </c>
      <c r="AC103" t="s">
        <v>53</v>
      </c>
      <c r="AD103">
        <v>10770</v>
      </c>
      <c r="AE103">
        <v>5700</v>
      </c>
      <c r="AF103">
        <v>373.87</v>
      </c>
      <c r="AG103">
        <v>21</v>
      </c>
      <c r="AH103">
        <v>54</v>
      </c>
      <c r="AI103">
        <v>57.368190476190478</v>
      </c>
      <c r="AJ103">
        <v>42.18</v>
      </c>
      <c r="AK103">
        <v>66.97</v>
      </c>
      <c r="AL103">
        <v>30.67</v>
      </c>
      <c r="AM103">
        <v>162</v>
      </c>
      <c r="AN103">
        <v>88.56</v>
      </c>
      <c r="AO103">
        <v>220.28</v>
      </c>
      <c r="AP103">
        <v>26.1</v>
      </c>
      <c r="AQ103">
        <v>22</v>
      </c>
      <c r="AR103">
        <v>50.1</v>
      </c>
    </row>
    <row r="104" spans="1:44" x14ac:dyDescent="0.3">
      <c r="A104">
        <v>103</v>
      </c>
      <c r="B104" t="s">
        <v>462</v>
      </c>
      <c r="C104">
        <v>2024</v>
      </c>
      <c r="D104">
        <f>164</f>
        <v>164</v>
      </c>
      <c r="E104">
        <v>7</v>
      </c>
      <c r="F104" t="s">
        <v>463</v>
      </c>
      <c r="G104" t="s">
        <v>161</v>
      </c>
      <c r="H104" t="s">
        <v>100</v>
      </c>
      <c r="I104" t="s">
        <v>162</v>
      </c>
      <c r="J104" t="s">
        <v>65</v>
      </c>
      <c r="K104">
        <v>49</v>
      </c>
      <c r="L104">
        <v>81.3</v>
      </c>
      <c r="M104">
        <v>23.3</v>
      </c>
      <c r="N104">
        <v>12052</v>
      </c>
      <c r="O104">
        <v>460</v>
      </c>
      <c r="P104">
        <v>23.3</v>
      </c>
      <c r="Q104">
        <v>205</v>
      </c>
      <c r="R104">
        <v>194</v>
      </c>
      <c r="S104">
        <v>0.14538558786346389</v>
      </c>
      <c r="T104" t="s">
        <v>58</v>
      </c>
      <c r="U104">
        <v>19344</v>
      </c>
      <c r="V104">
        <v>21</v>
      </c>
      <c r="W104">
        <v>27</v>
      </c>
      <c r="X104">
        <v>3164</v>
      </c>
      <c r="Y104">
        <v>13.2</v>
      </c>
      <c r="Z104" t="s">
        <v>138</v>
      </c>
      <c r="AA104">
        <v>60.503018349999998</v>
      </c>
      <c r="AB104">
        <v>39.496981650000002</v>
      </c>
      <c r="AC104" t="s">
        <v>53</v>
      </c>
      <c r="AD104">
        <v>14608</v>
      </c>
      <c r="AE104">
        <v>4794</v>
      </c>
      <c r="AF104">
        <v>682.03</v>
      </c>
      <c r="AG104">
        <v>18</v>
      </c>
      <c r="AH104">
        <v>62</v>
      </c>
      <c r="AI104">
        <v>43.175027777777778</v>
      </c>
      <c r="AJ104">
        <v>22.69</v>
      </c>
      <c r="AK104">
        <v>33</v>
      </c>
      <c r="AL104">
        <v>15.2</v>
      </c>
      <c r="AM104">
        <v>164</v>
      </c>
      <c r="AN104">
        <v>88.42</v>
      </c>
      <c r="AO104">
        <v>91.58</v>
      </c>
      <c r="AP104">
        <v>13.2</v>
      </c>
      <c r="AQ104">
        <v>21</v>
      </c>
      <c r="AR104">
        <v>49.7</v>
      </c>
    </row>
    <row r="105" spans="1:44" x14ac:dyDescent="0.3">
      <c r="A105">
        <v>104</v>
      </c>
      <c r="B105" t="s">
        <v>464</v>
      </c>
      <c r="C105">
        <v>2024</v>
      </c>
      <c r="D105">
        <f>164</f>
        <v>164</v>
      </c>
      <c r="E105">
        <v>9</v>
      </c>
      <c r="F105" t="s">
        <v>463</v>
      </c>
      <c r="G105" t="s">
        <v>131</v>
      </c>
      <c r="H105" t="s">
        <v>100</v>
      </c>
      <c r="I105" t="s">
        <v>465</v>
      </c>
      <c r="J105" t="s">
        <v>50</v>
      </c>
      <c r="K105">
        <v>57.4</v>
      </c>
      <c r="L105">
        <v>70</v>
      </c>
      <c r="M105">
        <v>23.9</v>
      </c>
      <c r="N105">
        <v>6911</v>
      </c>
      <c r="O105">
        <v>363</v>
      </c>
      <c r="P105">
        <v>23.9</v>
      </c>
      <c r="Q105">
        <v>224</v>
      </c>
      <c r="R105">
        <v>124</v>
      </c>
      <c r="S105">
        <v>0.13147410358565731</v>
      </c>
      <c r="T105" t="s">
        <v>96</v>
      </c>
      <c r="U105">
        <v>18220</v>
      </c>
      <c r="V105">
        <v>13</v>
      </c>
      <c r="W105">
        <v>14</v>
      </c>
      <c r="X105">
        <v>2761</v>
      </c>
      <c r="Y105">
        <v>7.7</v>
      </c>
      <c r="Z105" t="s">
        <v>350</v>
      </c>
      <c r="AA105">
        <v>29</v>
      </c>
      <c r="AB105">
        <v>71</v>
      </c>
      <c r="AC105" t="s">
        <v>53</v>
      </c>
      <c r="AD105">
        <v>11520</v>
      </c>
      <c r="AE105">
        <v>7159</v>
      </c>
      <c r="AF105">
        <v>1349.57</v>
      </c>
      <c r="AG105">
        <v>37</v>
      </c>
      <c r="AH105">
        <v>29</v>
      </c>
      <c r="AI105">
        <v>35.237824324324329</v>
      </c>
      <c r="AJ105">
        <v>25.61</v>
      </c>
      <c r="AK105">
        <v>22.27</v>
      </c>
      <c r="AL105">
        <v>5.48</v>
      </c>
      <c r="AM105">
        <v>164</v>
      </c>
      <c r="AN105">
        <v>88.42</v>
      </c>
      <c r="AO105">
        <v>63.94</v>
      </c>
      <c r="AP105">
        <v>7.7</v>
      </c>
      <c r="AQ105">
        <v>13</v>
      </c>
      <c r="AR105">
        <v>49.7</v>
      </c>
    </row>
    <row r="106" spans="1:44" x14ac:dyDescent="0.3">
      <c r="A106">
        <v>105</v>
      </c>
      <c r="B106" t="s">
        <v>466</v>
      </c>
      <c r="C106">
        <v>2024</v>
      </c>
      <c r="D106" t="s">
        <v>467</v>
      </c>
      <c r="E106">
        <v>27</v>
      </c>
      <c r="F106" t="s">
        <v>468</v>
      </c>
      <c r="G106" t="s">
        <v>47</v>
      </c>
      <c r="H106" t="s">
        <v>48</v>
      </c>
      <c r="I106" t="s">
        <v>469</v>
      </c>
      <c r="J106" t="s">
        <v>50</v>
      </c>
      <c r="K106">
        <v>43.5</v>
      </c>
      <c r="L106">
        <v>35.299999999999997</v>
      </c>
      <c r="M106">
        <v>40.299999999999997</v>
      </c>
      <c r="N106">
        <v>4473</v>
      </c>
      <c r="O106">
        <v>174</v>
      </c>
      <c r="P106">
        <v>40.299999999999997</v>
      </c>
      <c r="Q106">
        <v>216</v>
      </c>
      <c r="R106">
        <v>362</v>
      </c>
      <c r="S106">
        <v>7.8768673607967396E-2</v>
      </c>
      <c r="T106" t="s">
        <v>58</v>
      </c>
      <c r="U106">
        <v>19505</v>
      </c>
      <c r="V106">
        <v>31</v>
      </c>
      <c r="W106">
        <v>29</v>
      </c>
      <c r="X106">
        <v>2209</v>
      </c>
      <c r="Y106">
        <v>16.100000000000001</v>
      </c>
      <c r="Z106" t="s">
        <v>116</v>
      </c>
      <c r="AA106">
        <v>57</v>
      </c>
      <c r="AB106">
        <v>43</v>
      </c>
      <c r="AC106" t="s">
        <v>53</v>
      </c>
      <c r="AD106">
        <v>15700</v>
      </c>
      <c r="AE106">
        <v>4630</v>
      </c>
      <c r="AF106">
        <v>614.48</v>
      </c>
      <c r="AG106">
        <v>69</v>
      </c>
      <c r="AH106">
        <v>1</v>
      </c>
      <c r="AI106">
        <v>50.817340579710141</v>
      </c>
      <c r="AJ106">
        <v>35.82</v>
      </c>
      <c r="AK106">
        <v>38.92</v>
      </c>
      <c r="AL106">
        <v>35.29</v>
      </c>
      <c r="AM106">
        <v>167</v>
      </c>
      <c r="AN106">
        <v>88.21</v>
      </c>
      <c r="AO106">
        <v>168.98</v>
      </c>
      <c r="AP106">
        <v>16.100000000000001</v>
      </c>
      <c r="AQ106">
        <v>31</v>
      </c>
      <c r="AR106">
        <v>49.4</v>
      </c>
    </row>
    <row r="107" spans="1:44" x14ac:dyDescent="0.3">
      <c r="A107">
        <v>106</v>
      </c>
      <c r="B107" t="s">
        <v>470</v>
      </c>
      <c r="C107">
        <v>2024</v>
      </c>
      <c r="D107" t="s">
        <v>471</v>
      </c>
      <c r="E107">
        <v>38</v>
      </c>
      <c r="F107" t="s">
        <v>472</v>
      </c>
      <c r="G107" t="s">
        <v>63</v>
      </c>
      <c r="H107" t="s">
        <v>64</v>
      </c>
      <c r="I107" t="s">
        <v>473</v>
      </c>
      <c r="J107" t="s">
        <v>50</v>
      </c>
      <c r="K107">
        <v>48</v>
      </c>
      <c r="L107">
        <v>58.7</v>
      </c>
      <c r="M107">
        <v>26.6</v>
      </c>
      <c r="N107">
        <v>36025</v>
      </c>
      <c r="O107">
        <v>43</v>
      </c>
      <c r="P107">
        <v>26.6</v>
      </c>
      <c r="Q107">
        <v>280</v>
      </c>
      <c r="R107">
        <v>40</v>
      </c>
      <c r="S107">
        <v>6.9109611057537003E-3</v>
      </c>
      <c r="T107" t="s">
        <v>58</v>
      </c>
      <c r="U107">
        <v>48114</v>
      </c>
      <c r="V107">
        <v>9</v>
      </c>
      <c r="W107">
        <v>10</v>
      </c>
      <c r="X107">
        <v>6222</v>
      </c>
      <c r="Y107">
        <v>16.7</v>
      </c>
      <c r="Z107" t="s">
        <v>116</v>
      </c>
      <c r="AA107">
        <v>56</v>
      </c>
      <c r="AB107">
        <v>44</v>
      </c>
      <c r="AC107" t="s">
        <v>53</v>
      </c>
      <c r="AD107">
        <v>43002</v>
      </c>
      <c r="AE107">
        <v>4813</v>
      </c>
      <c r="AF107">
        <v>647.61</v>
      </c>
      <c r="AG107">
        <v>98</v>
      </c>
      <c r="AH107">
        <v>2</v>
      </c>
      <c r="AI107">
        <v>56.843244897959181</v>
      </c>
      <c r="AJ107">
        <v>29.74</v>
      </c>
      <c r="AK107">
        <v>38.11</v>
      </c>
      <c r="AL107">
        <v>19.260000000000002</v>
      </c>
      <c r="AM107">
        <v>168</v>
      </c>
      <c r="AN107">
        <v>88.13</v>
      </c>
      <c r="AO107">
        <v>31.96</v>
      </c>
      <c r="AP107">
        <v>16.7</v>
      </c>
      <c r="AQ107">
        <v>9</v>
      </c>
      <c r="AR107">
        <v>49.1</v>
      </c>
    </row>
    <row r="108" spans="1:44" x14ac:dyDescent="0.3">
      <c r="A108">
        <v>107</v>
      </c>
      <c r="B108" t="s">
        <v>474</v>
      </c>
      <c r="C108">
        <v>2024</v>
      </c>
      <c r="D108">
        <f>169</f>
        <v>169</v>
      </c>
      <c r="E108">
        <v>31</v>
      </c>
      <c r="F108" t="s">
        <v>475</v>
      </c>
      <c r="G108" t="s">
        <v>63</v>
      </c>
      <c r="H108" t="s">
        <v>64</v>
      </c>
      <c r="I108" t="s">
        <v>476</v>
      </c>
      <c r="J108" t="s">
        <v>50</v>
      </c>
      <c r="K108">
        <v>49.2</v>
      </c>
      <c r="L108">
        <v>26.1</v>
      </c>
      <c r="M108">
        <v>68.400000000000006</v>
      </c>
      <c r="N108">
        <v>7521</v>
      </c>
      <c r="O108">
        <v>42</v>
      </c>
      <c r="P108">
        <v>68.400000000000006</v>
      </c>
      <c r="Q108">
        <v>331</v>
      </c>
      <c r="R108">
        <v>92</v>
      </c>
      <c r="S108">
        <v>1.10584518167456E-2</v>
      </c>
      <c r="T108" t="s">
        <v>96</v>
      </c>
      <c r="U108">
        <v>33988</v>
      </c>
      <c r="V108">
        <v>9</v>
      </c>
      <c r="W108">
        <v>10</v>
      </c>
      <c r="X108">
        <v>3798</v>
      </c>
      <c r="Y108">
        <v>17</v>
      </c>
      <c r="Z108" t="s">
        <v>59</v>
      </c>
      <c r="AA108">
        <v>50</v>
      </c>
      <c r="AB108">
        <v>50</v>
      </c>
      <c r="AC108" t="s">
        <v>53</v>
      </c>
      <c r="AD108">
        <v>23371</v>
      </c>
      <c r="AE108">
        <v>10112</v>
      </c>
      <c r="AF108">
        <v>647.61</v>
      </c>
      <c r="AG108">
        <v>98</v>
      </c>
      <c r="AH108">
        <v>2</v>
      </c>
      <c r="AI108">
        <v>56.843244897959181</v>
      </c>
      <c r="AJ108">
        <v>29.74</v>
      </c>
      <c r="AK108">
        <v>38.11</v>
      </c>
      <c r="AL108">
        <v>19.260000000000002</v>
      </c>
      <c r="AM108">
        <v>169</v>
      </c>
      <c r="AN108">
        <v>88.06</v>
      </c>
      <c r="AO108">
        <v>77.84</v>
      </c>
      <c r="AP108">
        <v>17</v>
      </c>
      <c r="AQ108">
        <v>9</v>
      </c>
      <c r="AR108">
        <v>48.9</v>
      </c>
    </row>
    <row r="109" spans="1:44" x14ac:dyDescent="0.3">
      <c r="A109">
        <v>108</v>
      </c>
      <c r="B109" t="s">
        <v>477</v>
      </c>
      <c r="C109">
        <v>2024</v>
      </c>
      <c r="D109">
        <f>169</f>
        <v>169</v>
      </c>
      <c r="E109">
        <v>34</v>
      </c>
      <c r="F109" t="s">
        <v>475</v>
      </c>
      <c r="G109" t="s">
        <v>47</v>
      </c>
      <c r="H109" t="s">
        <v>48</v>
      </c>
      <c r="I109" t="s">
        <v>478</v>
      </c>
      <c r="J109" t="s">
        <v>50</v>
      </c>
      <c r="K109">
        <v>33.200000000000003</v>
      </c>
      <c r="L109">
        <v>39.299999999999997</v>
      </c>
      <c r="M109">
        <v>67.400000000000006</v>
      </c>
      <c r="N109">
        <v>4878</v>
      </c>
      <c r="O109">
        <v>460</v>
      </c>
      <c r="P109">
        <v>67.400000000000006</v>
      </c>
      <c r="Q109">
        <v>237</v>
      </c>
      <c r="R109">
        <v>496</v>
      </c>
      <c r="S109">
        <v>0.3471698113207547</v>
      </c>
      <c r="T109" t="s">
        <v>51</v>
      </c>
      <c r="U109">
        <v>15945</v>
      </c>
      <c r="V109">
        <v>31</v>
      </c>
      <c r="W109">
        <v>31</v>
      </c>
      <c r="X109">
        <v>1325</v>
      </c>
      <c r="Y109">
        <v>16.600000000000001</v>
      </c>
      <c r="Z109" t="s">
        <v>146</v>
      </c>
      <c r="AA109">
        <v>54</v>
      </c>
      <c r="AB109">
        <v>46</v>
      </c>
      <c r="AC109" t="s">
        <v>53</v>
      </c>
      <c r="AD109">
        <v>11333</v>
      </c>
      <c r="AE109">
        <v>4637</v>
      </c>
      <c r="AF109">
        <v>614.48</v>
      </c>
      <c r="AG109">
        <v>69</v>
      </c>
      <c r="AH109">
        <v>1</v>
      </c>
      <c r="AI109">
        <v>50.817340579710141</v>
      </c>
      <c r="AJ109">
        <v>35.82</v>
      </c>
      <c r="AK109">
        <v>38.92</v>
      </c>
      <c r="AL109">
        <v>35.29</v>
      </c>
      <c r="AM109">
        <v>169</v>
      </c>
      <c r="AN109">
        <v>88.06</v>
      </c>
      <c r="AO109">
        <v>238.84</v>
      </c>
      <c r="AP109">
        <v>16.600000000000001</v>
      </c>
      <c r="AQ109">
        <v>31</v>
      </c>
      <c r="AR109">
        <v>48.9</v>
      </c>
    </row>
    <row r="110" spans="1:44" x14ac:dyDescent="0.3">
      <c r="A110">
        <v>109</v>
      </c>
      <c r="B110" t="s">
        <v>479</v>
      </c>
      <c r="C110">
        <v>2024</v>
      </c>
      <c r="D110">
        <f>171</f>
        <v>171</v>
      </c>
      <c r="E110">
        <v>3</v>
      </c>
      <c r="F110" t="s">
        <v>480</v>
      </c>
      <c r="G110" t="s">
        <v>481</v>
      </c>
      <c r="H110" t="s">
        <v>48</v>
      </c>
      <c r="I110" t="s">
        <v>482</v>
      </c>
      <c r="J110" t="s">
        <v>50</v>
      </c>
      <c r="K110">
        <v>68.2</v>
      </c>
      <c r="L110">
        <v>69.3</v>
      </c>
      <c r="M110">
        <v>7</v>
      </c>
      <c r="N110">
        <v>9554</v>
      </c>
      <c r="O110">
        <v>363</v>
      </c>
      <c r="P110">
        <v>7</v>
      </c>
      <c r="Q110">
        <v>419</v>
      </c>
      <c r="R110">
        <v>178</v>
      </c>
      <c r="S110">
        <v>7.5973210548346506E-2</v>
      </c>
      <c r="T110" t="s">
        <v>51</v>
      </c>
      <c r="U110">
        <v>59814</v>
      </c>
      <c r="V110">
        <v>10</v>
      </c>
      <c r="W110">
        <v>16</v>
      </c>
      <c r="X110">
        <v>4778</v>
      </c>
      <c r="Y110">
        <v>11.8</v>
      </c>
      <c r="Z110" t="s">
        <v>326</v>
      </c>
      <c r="AA110">
        <v>63</v>
      </c>
      <c r="AB110">
        <v>37</v>
      </c>
      <c r="AC110" t="s">
        <v>53</v>
      </c>
      <c r="AD110">
        <v>36545</v>
      </c>
      <c r="AE110">
        <v>21139</v>
      </c>
      <c r="AF110">
        <v>906.25</v>
      </c>
      <c r="AG110">
        <v>9</v>
      </c>
      <c r="AH110">
        <v>313</v>
      </c>
      <c r="AI110">
        <v>39.444055555555551</v>
      </c>
      <c r="AJ110">
        <v>32.270000000000003</v>
      </c>
      <c r="AK110">
        <v>29.18</v>
      </c>
      <c r="AL110">
        <v>17.100000000000001</v>
      </c>
      <c r="AM110">
        <v>171</v>
      </c>
      <c r="AN110">
        <v>87.92</v>
      </c>
      <c r="AO110">
        <v>75.400000000000006</v>
      </c>
      <c r="AP110">
        <v>11.8</v>
      </c>
      <c r="AQ110">
        <v>10</v>
      </c>
      <c r="AR110">
        <v>48.8</v>
      </c>
    </row>
    <row r="111" spans="1:44" x14ac:dyDescent="0.3">
      <c r="A111">
        <v>110</v>
      </c>
      <c r="B111" t="s">
        <v>483</v>
      </c>
      <c r="C111">
        <v>2024</v>
      </c>
      <c r="D111">
        <f>171</f>
        <v>171</v>
      </c>
      <c r="E111">
        <v>1</v>
      </c>
      <c r="F111" t="s">
        <v>480</v>
      </c>
      <c r="G111" t="s">
        <v>484</v>
      </c>
      <c r="H111" t="s">
        <v>48</v>
      </c>
      <c r="I111" t="s">
        <v>485</v>
      </c>
      <c r="J111" t="s">
        <v>50</v>
      </c>
      <c r="K111">
        <v>49.8</v>
      </c>
      <c r="L111">
        <v>41.3</v>
      </c>
      <c r="M111">
        <v>38.9</v>
      </c>
      <c r="N111">
        <v>5827</v>
      </c>
      <c r="O111">
        <v>200</v>
      </c>
      <c r="P111">
        <v>38.9</v>
      </c>
      <c r="Q111">
        <v>261</v>
      </c>
      <c r="R111">
        <v>315</v>
      </c>
      <c r="S111">
        <v>0.10893246187363829</v>
      </c>
      <c r="T111" t="s">
        <v>71</v>
      </c>
      <c r="U111">
        <v>23405</v>
      </c>
      <c r="V111">
        <v>25</v>
      </c>
      <c r="W111">
        <v>35</v>
      </c>
      <c r="X111">
        <v>1836</v>
      </c>
      <c r="Y111">
        <v>20.7</v>
      </c>
      <c r="Z111" t="s">
        <v>87</v>
      </c>
      <c r="AA111">
        <v>54.364489319999997</v>
      </c>
      <c r="AB111">
        <v>45.635510680000003</v>
      </c>
      <c r="AC111" t="s">
        <v>53</v>
      </c>
      <c r="AD111">
        <v>16626</v>
      </c>
      <c r="AE111">
        <v>8626</v>
      </c>
      <c r="AF111">
        <v>440</v>
      </c>
      <c r="AG111">
        <v>7</v>
      </c>
      <c r="AH111">
        <v>231</v>
      </c>
      <c r="AI111">
        <v>47.207928571428567</v>
      </c>
      <c r="AJ111">
        <v>44.34</v>
      </c>
      <c r="AK111">
        <v>40.61</v>
      </c>
      <c r="AL111">
        <v>28.35</v>
      </c>
      <c r="AM111">
        <v>171</v>
      </c>
      <c r="AN111">
        <v>87.92</v>
      </c>
      <c r="AO111">
        <v>149.34</v>
      </c>
      <c r="AP111">
        <v>20.7</v>
      </c>
      <c r="AQ111">
        <v>25</v>
      </c>
      <c r="AR111">
        <v>48.8</v>
      </c>
    </row>
    <row r="112" spans="1:44" x14ac:dyDescent="0.3">
      <c r="A112">
        <v>111</v>
      </c>
      <c r="B112" t="s">
        <v>486</v>
      </c>
      <c r="C112">
        <v>2024</v>
      </c>
      <c r="D112">
        <f>173</f>
        <v>173</v>
      </c>
      <c r="E112">
        <v>1</v>
      </c>
      <c r="F112" t="s">
        <v>487</v>
      </c>
      <c r="G112" t="s">
        <v>488</v>
      </c>
      <c r="H112" t="s">
        <v>100</v>
      </c>
      <c r="I112" t="s">
        <v>489</v>
      </c>
      <c r="J112" t="s">
        <v>50</v>
      </c>
      <c r="K112">
        <v>27.1</v>
      </c>
      <c r="L112">
        <v>43.9</v>
      </c>
      <c r="M112">
        <v>38.799999999999997</v>
      </c>
      <c r="N112">
        <v>3104</v>
      </c>
      <c r="O112">
        <v>68749</v>
      </c>
      <c r="P112">
        <v>38.799999999999997</v>
      </c>
      <c r="Q112">
        <v>301</v>
      </c>
      <c r="R112">
        <v>58.3</v>
      </c>
      <c r="S112">
        <v>4.22</v>
      </c>
      <c r="T112" t="s">
        <v>71</v>
      </c>
      <c r="U112">
        <v>10081</v>
      </c>
      <c r="V112">
        <v>36</v>
      </c>
      <c r="W112">
        <v>38</v>
      </c>
      <c r="X112">
        <v>1163</v>
      </c>
      <c r="Y112">
        <v>8.4</v>
      </c>
      <c r="Z112" t="s">
        <v>490</v>
      </c>
      <c r="AA112">
        <v>46.634253780000002</v>
      </c>
      <c r="AB112">
        <v>53.365746219999998</v>
      </c>
      <c r="AC112" t="s">
        <v>53</v>
      </c>
      <c r="AD112">
        <v>6805</v>
      </c>
      <c r="AE112">
        <v>2734</v>
      </c>
      <c r="AF112">
        <v>178</v>
      </c>
      <c r="AG112">
        <v>1</v>
      </c>
      <c r="AH112">
        <v>282</v>
      </c>
      <c r="AI112">
        <v>54.249499999999998</v>
      </c>
      <c r="AJ112">
        <v>28.8</v>
      </c>
      <c r="AK112">
        <v>86.65</v>
      </c>
      <c r="AL112">
        <v>33.770000000000003</v>
      </c>
      <c r="AM112">
        <v>173</v>
      </c>
      <c r="AN112">
        <v>87.78</v>
      </c>
      <c r="AO112">
        <v>46.6</v>
      </c>
      <c r="AP112">
        <v>8.4</v>
      </c>
      <c r="AQ112">
        <v>36</v>
      </c>
      <c r="AR112">
        <v>48.7</v>
      </c>
    </row>
    <row r="113" spans="1:44" x14ac:dyDescent="0.3">
      <c r="A113">
        <v>112</v>
      </c>
      <c r="B113" t="s">
        <v>491</v>
      </c>
      <c r="C113">
        <v>2024</v>
      </c>
      <c r="D113">
        <f>173</f>
        <v>173</v>
      </c>
      <c r="E113">
        <v>1</v>
      </c>
      <c r="F113" t="s">
        <v>487</v>
      </c>
      <c r="G113" t="s">
        <v>492</v>
      </c>
      <c r="H113" t="s">
        <v>493</v>
      </c>
      <c r="I113" t="s">
        <v>494</v>
      </c>
      <c r="J113" t="s">
        <v>50</v>
      </c>
      <c r="K113">
        <v>44.4</v>
      </c>
      <c r="L113">
        <v>51</v>
      </c>
      <c r="M113">
        <v>45.7</v>
      </c>
      <c r="N113">
        <v>4485</v>
      </c>
      <c r="O113">
        <v>254</v>
      </c>
      <c r="P113">
        <v>45.7</v>
      </c>
      <c r="Q113">
        <v>198</v>
      </c>
      <c r="R113">
        <v>293</v>
      </c>
      <c r="S113">
        <v>0.1689953426480372</v>
      </c>
      <c r="T113" t="s">
        <v>96</v>
      </c>
      <c r="U113">
        <v>21961</v>
      </c>
      <c r="V113">
        <v>13</v>
      </c>
      <c r="W113">
        <v>12</v>
      </c>
      <c r="X113">
        <v>1503</v>
      </c>
      <c r="Y113">
        <v>13.6</v>
      </c>
      <c r="Z113" t="s">
        <v>87</v>
      </c>
      <c r="AA113">
        <v>56</v>
      </c>
      <c r="AB113">
        <v>44</v>
      </c>
      <c r="AC113" t="s">
        <v>53</v>
      </c>
      <c r="AD113">
        <v>15452</v>
      </c>
      <c r="AE113">
        <v>4642</v>
      </c>
      <c r="AF113">
        <v>773.03</v>
      </c>
      <c r="AG113">
        <v>8</v>
      </c>
      <c r="AH113">
        <v>167</v>
      </c>
      <c r="AI113">
        <v>43.070812500000002</v>
      </c>
      <c r="AJ113">
        <v>26.92</v>
      </c>
      <c r="AK113">
        <v>35.4</v>
      </c>
      <c r="AL113">
        <v>8.7799999999999994</v>
      </c>
      <c r="AM113">
        <v>173</v>
      </c>
      <c r="AN113">
        <v>87.78</v>
      </c>
      <c r="AO113">
        <v>144.62</v>
      </c>
      <c r="AP113">
        <v>13.6</v>
      </c>
      <c r="AQ113">
        <v>13</v>
      </c>
      <c r="AR113">
        <v>48.7</v>
      </c>
    </row>
    <row r="114" spans="1:44" x14ac:dyDescent="0.3">
      <c r="A114">
        <v>113</v>
      </c>
      <c r="B114" t="s">
        <v>495</v>
      </c>
      <c r="C114">
        <v>2024</v>
      </c>
      <c r="D114">
        <f>176</f>
        <v>176</v>
      </c>
      <c r="E114">
        <v>4</v>
      </c>
      <c r="F114" t="s">
        <v>496</v>
      </c>
      <c r="G114" t="s">
        <v>131</v>
      </c>
      <c r="H114" t="s">
        <v>100</v>
      </c>
      <c r="I114" t="s">
        <v>497</v>
      </c>
      <c r="J114" t="s">
        <v>50</v>
      </c>
      <c r="K114">
        <v>61.5</v>
      </c>
      <c r="L114">
        <v>65.099999999999994</v>
      </c>
      <c r="M114">
        <v>33</v>
      </c>
      <c r="N114">
        <v>6297</v>
      </c>
      <c r="O114">
        <v>222</v>
      </c>
      <c r="P114">
        <v>33</v>
      </c>
      <c r="Q114">
        <v>252</v>
      </c>
      <c r="R114">
        <v>132</v>
      </c>
      <c r="S114">
        <v>8.8375796178343902E-2</v>
      </c>
      <c r="T114" t="s">
        <v>77</v>
      </c>
      <c r="U114">
        <v>15224</v>
      </c>
      <c r="V114">
        <v>12</v>
      </c>
      <c r="W114">
        <v>13</v>
      </c>
      <c r="X114">
        <v>2512</v>
      </c>
      <c r="Y114">
        <v>13</v>
      </c>
      <c r="Z114" t="s">
        <v>390</v>
      </c>
      <c r="AA114">
        <v>31</v>
      </c>
      <c r="AB114">
        <v>69</v>
      </c>
      <c r="AC114" t="s">
        <v>53</v>
      </c>
      <c r="AD114">
        <v>10115</v>
      </c>
      <c r="AE114">
        <v>5444</v>
      </c>
      <c r="AF114">
        <v>1349.57</v>
      </c>
      <c r="AG114">
        <v>37</v>
      </c>
      <c r="AH114">
        <v>29</v>
      </c>
      <c r="AI114">
        <v>35.237824324324329</v>
      </c>
      <c r="AJ114">
        <v>25.61</v>
      </c>
      <c r="AK114">
        <v>22.27</v>
      </c>
      <c r="AL114">
        <v>5.48</v>
      </c>
      <c r="AM114">
        <v>176</v>
      </c>
      <c r="AN114">
        <v>87.56</v>
      </c>
      <c r="AO114">
        <v>72.599999999999994</v>
      </c>
      <c r="AP114">
        <v>13</v>
      </c>
      <c r="AQ114">
        <v>12</v>
      </c>
      <c r="AR114">
        <v>48.5</v>
      </c>
    </row>
    <row r="115" spans="1:44" x14ac:dyDescent="0.3">
      <c r="A115">
        <v>114</v>
      </c>
      <c r="B115" t="s">
        <v>498</v>
      </c>
      <c r="C115">
        <v>2024</v>
      </c>
      <c r="D115">
        <f>176</f>
        <v>176</v>
      </c>
      <c r="E115">
        <v>17</v>
      </c>
      <c r="F115" t="s">
        <v>496</v>
      </c>
      <c r="G115" t="s">
        <v>47</v>
      </c>
      <c r="H115" t="s">
        <v>48</v>
      </c>
      <c r="I115" t="s">
        <v>499</v>
      </c>
      <c r="J115" t="s">
        <v>50</v>
      </c>
      <c r="K115">
        <v>44.4</v>
      </c>
      <c r="L115">
        <v>35</v>
      </c>
      <c r="M115">
        <v>37.9</v>
      </c>
      <c r="N115">
        <v>8528</v>
      </c>
      <c r="O115">
        <v>139</v>
      </c>
      <c r="P115">
        <v>37.9</v>
      </c>
      <c r="Q115">
        <v>358</v>
      </c>
      <c r="R115">
        <v>189</v>
      </c>
      <c r="S115">
        <v>5.0162396246842197E-2</v>
      </c>
      <c r="T115" t="s">
        <v>58</v>
      </c>
      <c r="U115">
        <v>25955</v>
      </c>
      <c r="V115">
        <v>32</v>
      </c>
      <c r="W115">
        <v>33</v>
      </c>
      <c r="X115">
        <v>2771</v>
      </c>
      <c r="Y115">
        <v>14.2</v>
      </c>
      <c r="Z115" t="s">
        <v>87</v>
      </c>
      <c r="AA115">
        <v>55</v>
      </c>
      <c r="AB115">
        <v>45</v>
      </c>
      <c r="AC115" t="s">
        <v>53</v>
      </c>
      <c r="AD115">
        <v>19909</v>
      </c>
      <c r="AE115">
        <v>6861</v>
      </c>
      <c r="AF115">
        <v>614.48</v>
      </c>
      <c r="AG115">
        <v>69</v>
      </c>
      <c r="AH115">
        <v>1</v>
      </c>
      <c r="AI115">
        <v>50.817340579710141</v>
      </c>
      <c r="AJ115">
        <v>35.82</v>
      </c>
      <c r="AK115">
        <v>38.92</v>
      </c>
      <c r="AL115">
        <v>35.29</v>
      </c>
      <c r="AM115">
        <v>176</v>
      </c>
      <c r="AN115">
        <v>87.56</v>
      </c>
      <c r="AO115">
        <v>98.34</v>
      </c>
      <c r="AP115">
        <v>14.2</v>
      </c>
      <c r="AQ115">
        <v>32</v>
      </c>
      <c r="AR115">
        <v>48.5</v>
      </c>
    </row>
    <row r="116" spans="1:44" x14ac:dyDescent="0.3">
      <c r="A116">
        <v>115</v>
      </c>
      <c r="B116" t="s">
        <v>500</v>
      </c>
      <c r="C116">
        <v>2024</v>
      </c>
      <c r="D116" t="s">
        <v>501</v>
      </c>
      <c r="E116">
        <v>7</v>
      </c>
      <c r="F116" t="s">
        <v>502</v>
      </c>
      <c r="G116" t="s">
        <v>114</v>
      </c>
      <c r="H116" t="s">
        <v>64</v>
      </c>
      <c r="I116" t="s">
        <v>503</v>
      </c>
      <c r="J116" t="s">
        <v>50</v>
      </c>
      <c r="K116">
        <v>37.700000000000003</v>
      </c>
      <c r="L116">
        <v>61.2</v>
      </c>
      <c r="M116">
        <v>41.5</v>
      </c>
      <c r="N116">
        <v>10641</v>
      </c>
      <c r="O116">
        <v>240</v>
      </c>
      <c r="P116">
        <v>41.5</v>
      </c>
      <c r="Q116">
        <v>321</v>
      </c>
      <c r="R116">
        <v>141</v>
      </c>
      <c r="S116">
        <v>8.9955022488755601E-2</v>
      </c>
      <c r="T116" t="s">
        <v>96</v>
      </c>
      <c r="U116">
        <v>34012</v>
      </c>
      <c r="V116">
        <v>24</v>
      </c>
      <c r="W116">
        <v>26</v>
      </c>
      <c r="X116">
        <v>2668</v>
      </c>
      <c r="Y116">
        <v>18.8</v>
      </c>
      <c r="Z116" t="s">
        <v>87</v>
      </c>
      <c r="AA116">
        <v>53</v>
      </c>
      <c r="AB116">
        <v>47</v>
      </c>
      <c r="AC116" t="s">
        <v>53</v>
      </c>
      <c r="AD116">
        <v>22930</v>
      </c>
      <c r="AE116">
        <v>13024</v>
      </c>
      <c r="AF116">
        <v>559.59</v>
      </c>
      <c r="AG116">
        <v>23</v>
      </c>
      <c r="AH116">
        <v>21</v>
      </c>
      <c r="AI116">
        <v>55.883456521739127</v>
      </c>
      <c r="AJ116">
        <v>36.42</v>
      </c>
      <c r="AK116">
        <v>48.16</v>
      </c>
      <c r="AL116">
        <v>22.85</v>
      </c>
      <c r="AM116">
        <v>182</v>
      </c>
      <c r="AN116">
        <v>87.13</v>
      </c>
      <c r="AO116">
        <v>81.3</v>
      </c>
      <c r="AP116">
        <v>18.8</v>
      </c>
      <c r="AQ116">
        <v>24</v>
      </c>
      <c r="AR116">
        <v>47.9</v>
      </c>
    </row>
    <row r="117" spans="1:44" x14ac:dyDescent="0.3">
      <c r="A117">
        <v>116</v>
      </c>
      <c r="B117" t="s">
        <v>504</v>
      </c>
      <c r="C117">
        <v>2024</v>
      </c>
      <c r="D117" t="s">
        <v>505</v>
      </c>
      <c r="E117">
        <v>16</v>
      </c>
      <c r="F117" t="s">
        <v>506</v>
      </c>
      <c r="G117" t="s">
        <v>107</v>
      </c>
      <c r="H117" t="s">
        <v>108</v>
      </c>
      <c r="I117" t="s">
        <v>251</v>
      </c>
      <c r="J117" t="s">
        <v>50</v>
      </c>
      <c r="K117">
        <v>32.4</v>
      </c>
      <c r="L117">
        <v>31.8</v>
      </c>
      <c r="M117">
        <v>86.2</v>
      </c>
      <c r="N117">
        <v>8390</v>
      </c>
      <c r="O117">
        <v>898</v>
      </c>
      <c r="P117">
        <v>86.2</v>
      </c>
      <c r="Q117">
        <v>327</v>
      </c>
      <c r="R117">
        <v>324</v>
      </c>
      <c r="S117">
        <v>0.52885747938751471</v>
      </c>
      <c r="T117" t="s">
        <v>58</v>
      </c>
      <c r="U117">
        <v>29283</v>
      </c>
      <c r="V117">
        <v>29</v>
      </c>
      <c r="W117">
        <v>35</v>
      </c>
      <c r="X117">
        <v>1698</v>
      </c>
      <c r="Y117">
        <v>20.8</v>
      </c>
      <c r="Z117" t="s">
        <v>337</v>
      </c>
      <c r="AA117">
        <v>52</v>
      </c>
      <c r="AB117">
        <v>48</v>
      </c>
      <c r="AC117" t="s">
        <v>53</v>
      </c>
      <c r="AD117">
        <v>21713</v>
      </c>
      <c r="AE117">
        <v>7826</v>
      </c>
      <c r="AF117">
        <v>373.87</v>
      </c>
      <c r="AG117">
        <v>21</v>
      </c>
      <c r="AH117">
        <v>54</v>
      </c>
      <c r="AI117">
        <v>57.368190476190478</v>
      </c>
      <c r="AJ117">
        <v>42.18</v>
      </c>
      <c r="AK117">
        <v>66.97</v>
      </c>
      <c r="AL117">
        <v>30.67</v>
      </c>
      <c r="AM117">
        <v>183</v>
      </c>
      <c r="AN117">
        <v>87.06</v>
      </c>
      <c r="AO117">
        <v>181.32</v>
      </c>
      <c r="AP117">
        <v>20.8</v>
      </c>
      <c r="AQ117">
        <v>29</v>
      </c>
      <c r="AR117">
        <v>47.8</v>
      </c>
    </row>
    <row r="118" spans="1:44" x14ac:dyDescent="0.3">
      <c r="A118">
        <v>117</v>
      </c>
      <c r="B118" t="s">
        <v>507</v>
      </c>
      <c r="C118">
        <v>2024</v>
      </c>
      <c r="D118">
        <f>184</f>
        <v>184</v>
      </c>
      <c r="E118">
        <v>9</v>
      </c>
      <c r="F118" t="s">
        <v>508</v>
      </c>
      <c r="G118" t="s">
        <v>155</v>
      </c>
      <c r="H118" t="s">
        <v>48</v>
      </c>
      <c r="I118" t="s">
        <v>509</v>
      </c>
      <c r="J118" t="s">
        <v>50</v>
      </c>
      <c r="K118">
        <v>30.5</v>
      </c>
      <c r="L118">
        <v>14.4</v>
      </c>
      <c r="M118">
        <v>98.4</v>
      </c>
      <c r="N118">
        <v>608</v>
      </c>
      <c r="O118">
        <v>8315</v>
      </c>
      <c r="P118">
        <v>98.4</v>
      </c>
      <c r="Q118">
        <v>92</v>
      </c>
      <c r="R118">
        <v>51.2</v>
      </c>
      <c r="S118">
        <v>3.58</v>
      </c>
      <c r="T118" t="s">
        <v>58</v>
      </c>
      <c r="U118">
        <v>2024</v>
      </c>
      <c r="V118">
        <v>11</v>
      </c>
      <c r="W118">
        <v>11</v>
      </c>
      <c r="X118">
        <v>387</v>
      </c>
      <c r="Y118">
        <v>7.9</v>
      </c>
      <c r="Z118" t="s">
        <v>510</v>
      </c>
      <c r="AA118">
        <v>45</v>
      </c>
      <c r="AB118">
        <v>55</v>
      </c>
      <c r="AC118" t="s">
        <v>53</v>
      </c>
      <c r="AD118">
        <v>1331</v>
      </c>
      <c r="AE118">
        <v>603</v>
      </c>
      <c r="AF118">
        <v>858.67</v>
      </c>
      <c r="AG118">
        <v>9</v>
      </c>
      <c r="AH118">
        <v>58</v>
      </c>
      <c r="AI118">
        <v>54.703833333333343</v>
      </c>
      <c r="AJ118">
        <v>33.89</v>
      </c>
      <c r="AK118">
        <v>35.92</v>
      </c>
      <c r="AL118">
        <v>20.8</v>
      </c>
      <c r="AM118">
        <v>184</v>
      </c>
      <c r="AN118">
        <v>86.99</v>
      </c>
      <c r="AO118">
        <v>79.52</v>
      </c>
      <c r="AP118">
        <v>7.9</v>
      </c>
      <c r="AQ118">
        <v>11</v>
      </c>
      <c r="AR118">
        <v>47.6</v>
      </c>
    </row>
    <row r="119" spans="1:44" x14ac:dyDescent="0.3">
      <c r="A119">
        <v>118</v>
      </c>
      <c r="B119" t="s">
        <v>511</v>
      </c>
      <c r="C119">
        <v>2024</v>
      </c>
      <c r="D119" t="s">
        <v>512</v>
      </c>
      <c r="E119">
        <v>6</v>
      </c>
      <c r="F119" t="s">
        <v>513</v>
      </c>
      <c r="G119" t="s">
        <v>282</v>
      </c>
      <c r="H119" t="s">
        <v>48</v>
      </c>
      <c r="I119" t="s">
        <v>405</v>
      </c>
      <c r="J119" t="s">
        <v>50</v>
      </c>
      <c r="K119">
        <v>36.200000000000003</v>
      </c>
      <c r="L119">
        <v>16.899999999999999</v>
      </c>
      <c r="M119">
        <v>39.4</v>
      </c>
      <c r="N119">
        <v>4228</v>
      </c>
      <c r="O119">
        <v>187</v>
      </c>
      <c r="P119">
        <v>39.4</v>
      </c>
      <c r="Q119">
        <v>222</v>
      </c>
      <c r="R119">
        <v>208</v>
      </c>
      <c r="S119">
        <v>6.9776119402985004E-2</v>
      </c>
      <c r="T119" t="s">
        <v>96</v>
      </c>
      <c r="U119">
        <v>21698</v>
      </c>
      <c r="V119">
        <v>13</v>
      </c>
      <c r="W119">
        <v>13</v>
      </c>
      <c r="X119">
        <v>2680</v>
      </c>
      <c r="Y119">
        <v>11.9</v>
      </c>
      <c r="Z119" t="s">
        <v>72</v>
      </c>
      <c r="AA119">
        <v>47.1768085</v>
      </c>
      <c r="AB119">
        <v>52.8231915</v>
      </c>
      <c r="AC119" t="s">
        <v>53</v>
      </c>
      <c r="AD119">
        <v>14995</v>
      </c>
      <c r="AE119">
        <v>5761</v>
      </c>
      <c r="AF119">
        <v>329.54</v>
      </c>
      <c r="AG119">
        <v>6</v>
      </c>
      <c r="AH119">
        <v>106</v>
      </c>
      <c r="AI119">
        <v>60.135250000000013</v>
      </c>
      <c r="AJ119">
        <v>52.01</v>
      </c>
      <c r="AK119">
        <v>53.18</v>
      </c>
      <c r="AL119">
        <v>14.92</v>
      </c>
      <c r="AM119">
        <v>187</v>
      </c>
      <c r="AN119">
        <v>86.78</v>
      </c>
      <c r="AO119">
        <v>106.84</v>
      </c>
      <c r="AP119">
        <v>11.9</v>
      </c>
      <c r="AQ119">
        <v>13</v>
      </c>
      <c r="AR119">
        <v>47.3</v>
      </c>
    </row>
    <row r="120" spans="1:44" x14ac:dyDescent="0.3">
      <c r="A120">
        <v>119</v>
      </c>
      <c r="B120" t="s">
        <v>514</v>
      </c>
      <c r="C120">
        <v>2024</v>
      </c>
      <c r="D120">
        <f>189</f>
        <v>189</v>
      </c>
      <c r="E120">
        <v>6</v>
      </c>
      <c r="F120" t="s">
        <v>515</v>
      </c>
      <c r="G120" t="s">
        <v>114</v>
      </c>
      <c r="H120" t="s">
        <v>64</v>
      </c>
      <c r="I120" t="s">
        <v>516</v>
      </c>
      <c r="J120" t="s">
        <v>50</v>
      </c>
      <c r="K120">
        <v>40.5</v>
      </c>
      <c r="L120">
        <v>38.200000000000003</v>
      </c>
      <c r="M120">
        <v>29</v>
      </c>
      <c r="N120">
        <v>11677</v>
      </c>
      <c r="O120">
        <v>57</v>
      </c>
      <c r="P120">
        <v>29</v>
      </c>
      <c r="Q120">
        <v>446</v>
      </c>
      <c r="R120">
        <v>140</v>
      </c>
      <c r="S120">
        <v>1.4925373134328301E-2</v>
      </c>
      <c r="T120" t="s">
        <v>96</v>
      </c>
      <c r="U120">
        <v>28254</v>
      </c>
      <c r="V120">
        <v>22</v>
      </c>
      <c r="W120">
        <v>23</v>
      </c>
      <c r="X120">
        <v>3819</v>
      </c>
      <c r="Y120">
        <v>30.9</v>
      </c>
      <c r="Z120" t="s">
        <v>116</v>
      </c>
      <c r="AA120">
        <v>57</v>
      </c>
      <c r="AB120">
        <v>43</v>
      </c>
      <c r="AC120" t="s">
        <v>53</v>
      </c>
      <c r="AD120">
        <v>17807</v>
      </c>
      <c r="AE120">
        <v>10840</v>
      </c>
      <c r="AF120">
        <v>559.59</v>
      </c>
      <c r="AG120">
        <v>23</v>
      </c>
      <c r="AH120">
        <v>21</v>
      </c>
      <c r="AI120">
        <v>55.883456521739127</v>
      </c>
      <c r="AJ120">
        <v>36.42</v>
      </c>
      <c r="AK120">
        <v>48.16</v>
      </c>
      <c r="AL120">
        <v>22.85</v>
      </c>
      <c r="AM120">
        <v>189</v>
      </c>
      <c r="AN120">
        <v>86.63</v>
      </c>
      <c r="AO120">
        <v>73.400000000000006</v>
      </c>
      <c r="AP120">
        <v>30.9</v>
      </c>
      <c r="AQ120">
        <v>22</v>
      </c>
      <c r="AR120">
        <v>46.8</v>
      </c>
    </row>
    <row r="121" spans="1:44" x14ac:dyDescent="0.3">
      <c r="A121">
        <v>120</v>
      </c>
      <c r="B121" t="s">
        <v>517</v>
      </c>
      <c r="C121">
        <v>2024</v>
      </c>
      <c r="D121" t="s">
        <v>518</v>
      </c>
      <c r="E121">
        <v>20</v>
      </c>
      <c r="F121" t="s">
        <v>519</v>
      </c>
      <c r="G121" t="s">
        <v>99</v>
      </c>
      <c r="H121" t="s">
        <v>100</v>
      </c>
      <c r="I121" t="s">
        <v>520</v>
      </c>
      <c r="J121" t="s">
        <v>50</v>
      </c>
      <c r="K121">
        <v>40.9</v>
      </c>
      <c r="L121">
        <v>44</v>
      </c>
      <c r="M121">
        <v>87.4</v>
      </c>
      <c r="N121">
        <v>14341</v>
      </c>
      <c r="O121">
        <v>898</v>
      </c>
      <c r="P121">
        <v>87.4</v>
      </c>
      <c r="Q121">
        <v>451</v>
      </c>
      <c r="R121">
        <v>143</v>
      </c>
      <c r="S121">
        <v>0.2345872518286311</v>
      </c>
      <c r="T121" t="s">
        <v>51</v>
      </c>
      <c r="U121">
        <v>56066</v>
      </c>
      <c r="V121">
        <v>5</v>
      </c>
      <c r="W121">
        <v>6</v>
      </c>
      <c r="X121">
        <v>3828</v>
      </c>
      <c r="Y121">
        <v>15</v>
      </c>
      <c r="Z121" t="s">
        <v>521</v>
      </c>
      <c r="AA121">
        <v>62.781508709999997</v>
      </c>
      <c r="AB121">
        <v>37.218491290000003</v>
      </c>
      <c r="AC121" t="s">
        <v>53</v>
      </c>
      <c r="AD121">
        <v>32196</v>
      </c>
      <c r="AE121">
        <v>16849</v>
      </c>
      <c r="AF121">
        <v>616.32000000000005</v>
      </c>
      <c r="AG121">
        <v>35</v>
      </c>
      <c r="AH121">
        <v>12</v>
      </c>
      <c r="AI121">
        <v>56.538228571428569</v>
      </c>
      <c r="AJ121">
        <v>21.88</v>
      </c>
      <c r="AK121">
        <v>70.61</v>
      </c>
      <c r="AL121">
        <v>14.17</v>
      </c>
      <c r="AM121">
        <v>194</v>
      </c>
      <c r="AN121">
        <v>86.28</v>
      </c>
      <c r="AO121">
        <v>109.64</v>
      </c>
      <c r="AP121">
        <v>15</v>
      </c>
      <c r="AQ121">
        <v>5</v>
      </c>
      <c r="AR121">
        <v>46.6</v>
      </c>
    </row>
    <row r="122" spans="1:44" x14ac:dyDescent="0.3">
      <c r="A122">
        <v>121</v>
      </c>
      <c r="B122" t="s">
        <v>522</v>
      </c>
      <c r="C122">
        <v>2024</v>
      </c>
      <c r="D122" t="s">
        <v>523</v>
      </c>
      <c r="E122">
        <v>7</v>
      </c>
      <c r="F122" t="s">
        <v>524</v>
      </c>
      <c r="G122" t="s">
        <v>131</v>
      </c>
      <c r="H122" t="s">
        <v>100</v>
      </c>
      <c r="I122" t="s">
        <v>525</v>
      </c>
      <c r="J122" t="s">
        <v>50</v>
      </c>
      <c r="K122">
        <v>57.3</v>
      </c>
      <c r="L122">
        <v>66</v>
      </c>
      <c r="M122">
        <v>27.8</v>
      </c>
      <c r="N122">
        <v>5650</v>
      </c>
      <c r="O122">
        <v>304</v>
      </c>
      <c r="P122">
        <v>27.8</v>
      </c>
      <c r="Q122">
        <v>236</v>
      </c>
      <c r="R122">
        <v>137</v>
      </c>
      <c r="S122">
        <v>0.12277867528271399</v>
      </c>
      <c r="T122" t="s">
        <v>71</v>
      </c>
      <c r="U122">
        <v>17659</v>
      </c>
      <c r="V122">
        <v>10</v>
      </c>
      <c r="W122">
        <v>11</v>
      </c>
      <c r="X122">
        <v>2476</v>
      </c>
      <c r="Y122">
        <v>8.1999999999999993</v>
      </c>
      <c r="Z122" t="s">
        <v>526</v>
      </c>
      <c r="AA122">
        <v>30</v>
      </c>
      <c r="AB122">
        <v>70</v>
      </c>
      <c r="AC122" t="s">
        <v>53</v>
      </c>
      <c r="AD122">
        <v>12337</v>
      </c>
      <c r="AE122">
        <v>5356</v>
      </c>
      <c r="AF122">
        <v>1349.57</v>
      </c>
      <c r="AG122">
        <v>37</v>
      </c>
      <c r="AH122">
        <v>29</v>
      </c>
      <c r="AI122">
        <v>35.237824324324329</v>
      </c>
      <c r="AJ122">
        <v>25.61</v>
      </c>
      <c r="AK122">
        <v>22.27</v>
      </c>
      <c r="AL122">
        <v>5.48</v>
      </c>
      <c r="AM122">
        <v>196</v>
      </c>
      <c r="AN122">
        <v>86.13</v>
      </c>
      <c r="AO122">
        <v>71.48</v>
      </c>
      <c r="AP122">
        <v>8.1999999999999993</v>
      </c>
      <c r="AQ122">
        <v>10</v>
      </c>
      <c r="AR122">
        <v>46.2</v>
      </c>
    </row>
    <row r="123" spans="1:44" x14ac:dyDescent="0.3">
      <c r="A123">
        <v>122</v>
      </c>
      <c r="B123" t="s">
        <v>527</v>
      </c>
      <c r="C123">
        <v>2024</v>
      </c>
      <c r="D123">
        <f>199</f>
        <v>199</v>
      </c>
      <c r="E123">
        <v>47</v>
      </c>
      <c r="F123" t="s">
        <v>528</v>
      </c>
      <c r="G123" t="s">
        <v>63</v>
      </c>
      <c r="H123" t="s">
        <v>64</v>
      </c>
      <c r="I123" t="s">
        <v>305</v>
      </c>
      <c r="J123" t="s">
        <v>65</v>
      </c>
      <c r="K123">
        <v>25.6</v>
      </c>
      <c r="L123">
        <v>16.399999999999999</v>
      </c>
      <c r="M123">
        <v>69.7</v>
      </c>
      <c r="N123">
        <v>4034</v>
      </c>
      <c r="O123">
        <v>63</v>
      </c>
      <c r="P123">
        <v>69.7</v>
      </c>
      <c r="Q123">
        <v>252</v>
      </c>
      <c r="R123">
        <v>101</v>
      </c>
      <c r="S123">
        <v>2.3119266055045801E-2</v>
      </c>
      <c r="T123" t="s">
        <v>51</v>
      </c>
      <c r="U123">
        <v>13127</v>
      </c>
      <c r="V123">
        <v>19</v>
      </c>
      <c r="W123">
        <v>20</v>
      </c>
      <c r="X123">
        <v>2725</v>
      </c>
      <c r="Y123">
        <v>4</v>
      </c>
      <c r="Z123" t="s">
        <v>138</v>
      </c>
      <c r="AA123">
        <v>61</v>
      </c>
      <c r="AB123">
        <v>39</v>
      </c>
      <c r="AC123" t="s">
        <v>53</v>
      </c>
      <c r="AD123">
        <v>9062</v>
      </c>
      <c r="AE123">
        <v>4590</v>
      </c>
      <c r="AF123">
        <v>647.61</v>
      </c>
      <c r="AG123">
        <v>98</v>
      </c>
      <c r="AH123">
        <v>2</v>
      </c>
      <c r="AI123">
        <v>56.843244897959181</v>
      </c>
      <c r="AJ123">
        <v>29.74</v>
      </c>
      <c r="AK123">
        <v>38.11</v>
      </c>
      <c r="AL123">
        <v>19.260000000000002</v>
      </c>
      <c r="AM123">
        <v>199</v>
      </c>
      <c r="AN123">
        <v>85.92</v>
      </c>
      <c r="AO123">
        <v>82.22</v>
      </c>
      <c r="AP123">
        <v>4</v>
      </c>
      <c r="AQ123">
        <v>19</v>
      </c>
      <c r="AR123">
        <v>45.9</v>
      </c>
    </row>
    <row r="124" spans="1:44" x14ac:dyDescent="0.3">
      <c r="A124">
        <v>123</v>
      </c>
      <c r="B124" t="s">
        <v>529</v>
      </c>
      <c r="C124">
        <v>2024</v>
      </c>
      <c r="D124">
        <f>199</f>
        <v>199</v>
      </c>
      <c r="E124">
        <v>12</v>
      </c>
      <c r="F124" t="s">
        <v>528</v>
      </c>
      <c r="G124" t="s">
        <v>131</v>
      </c>
      <c r="H124" t="s">
        <v>100</v>
      </c>
      <c r="I124" t="s">
        <v>132</v>
      </c>
      <c r="J124" t="s">
        <v>65</v>
      </c>
      <c r="K124">
        <v>60.2</v>
      </c>
      <c r="L124">
        <v>97.3</v>
      </c>
      <c r="M124">
        <v>4.3</v>
      </c>
      <c r="N124">
        <v>12878</v>
      </c>
      <c r="O124">
        <v>541</v>
      </c>
      <c r="P124">
        <v>4.3</v>
      </c>
      <c r="Q124">
        <v>162</v>
      </c>
      <c r="R124">
        <v>470</v>
      </c>
      <c r="S124">
        <v>0.1411427080615705</v>
      </c>
      <c r="T124" t="s">
        <v>96</v>
      </c>
      <c r="U124">
        <v>46013</v>
      </c>
      <c r="V124">
        <v>13</v>
      </c>
      <c r="W124">
        <v>12</v>
      </c>
      <c r="X124">
        <v>3833</v>
      </c>
      <c r="Y124">
        <v>14.3</v>
      </c>
      <c r="Z124" t="s">
        <v>332</v>
      </c>
      <c r="AA124">
        <v>39</v>
      </c>
      <c r="AB124">
        <v>61</v>
      </c>
      <c r="AC124" t="s">
        <v>53</v>
      </c>
      <c r="AD124">
        <v>27475</v>
      </c>
      <c r="AE124">
        <v>17401</v>
      </c>
      <c r="AF124">
        <v>1349.57</v>
      </c>
      <c r="AG124">
        <v>37</v>
      </c>
      <c r="AH124">
        <v>29</v>
      </c>
      <c r="AI124">
        <v>35.237824324324329</v>
      </c>
      <c r="AJ124">
        <v>25.61</v>
      </c>
      <c r="AK124">
        <v>22.27</v>
      </c>
      <c r="AL124">
        <v>5.48</v>
      </c>
      <c r="AM124">
        <v>199</v>
      </c>
      <c r="AN124">
        <v>85.92</v>
      </c>
      <c r="AO124">
        <v>190.58</v>
      </c>
      <c r="AP124">
        <v>14.3</v>
      </c>
      <c r="AQ124">
        <v>13</v>
      </c>
      <c r="AR124">
        <v>45.9</v>
      </c>
    </row>
    <row r="125" spans="1:44" x14ac:dyDescent="0.3">
      <c r="A125">
        <v>124</v>
      </c>
      <c r="B125" t="s">
        <v>530</v>
      </c>
      <c r="C125">
        <v>2024</v>
      </c>
      <c r="D125">
        <f>203</f>
        <v>203</v>
      </c>
      <c r="E125">
        <v>2</v>
      </c>
      <c r="F125" t="s">
        <v>531</v>
      </c>
      <c r="G125" t="s">
        <v>532</v>
      </c>
      <c r="H125" t="s">
        <v>100</v>
      </c>
      <c r="I125" t="s">
        <v>533</v>
      </c>
      <c r="J125" t="s">
        <v>50</v>
      </c>
      <c r="K125">
        <v>36.9</v>
      </c>
      <c r="L125">
        <v>21.3</v>
      </c>
      <c r="M125">
        <v>32.200000000000003</v>
      </c>
      <c r="N125">
        <v>15822</v>
      </c>
      <c r="O125">
        <v>898</v>
      </c>
      <c r="P125">
        <v>32.200000000000003</v>
      </c>
      <c r="Q125">
        <v>471</v>
      </c>
      <c r="R125">
        <v>191</v>
      </c>
      <c r="S125">
        <v>0.2129981024667931</v>
      </c>
      <c r="T125" t="s">
        <v>51</v>
      </c>
      <c r="U125">
        <v>50906</v>
      </c>
      <c r="V125">
        <v>6</v>
      </c>
      <c r="W125">
        <v>11</v>
      </c>
      <c r="X125">
        <v>4216</v>
      </c>
      <c r="Y125">
        <v>11.9</v>
      </c>
      <c r="Z125" t="s">
        <v>510</v>
      </c>
      <c r="AA125">
        <v>46</v>
      </c>
      <c r="AB125">
        <v>54</v>
      </c>
      <c r="AC125" t="s">
        <v>53</v>
      </c>
      <c r="AD125">
        <v>25689</v>
      </c>
      <c r="AE125">
        <v>17157</v>
      </c>
      <c r="AF125">
        <v>788.07</v>
      </c>
      <c r="AG125">
        <v>9</v>
      </c>
      <c r="AH125">
        <v>424</v>
      </c>
      <c r="AI125">
        <v>39.266333333333343</v>
      </c>
      <c r="AJ125">
        <v>28.29</v>
      </c>
      <c r="AK125">
        <v>30.02</v>
      </c>
      <c r="AL125">
        <v>13.2</v>
      </c>
      <c r="AM125">
        <v>203</v>
      </c>
      <c r="AN125">
        <v>85.63</v>
      </c>
      <c r="AO125">
        <v>95.72</v>
      </c>
      <c r="AP125">
        <v>11.9</v>
      </c>
      <c r="AQ125">
        <v>6</v>
      </c>
      <c r="AR125">
        <v>45.2</v>
      </c>
    </row>
    <row r="126" spans="1:44" x14ac:dyDescent="0.3">
      <c r="A126">
        <v>125</v>
      </c>
      <c r="B126" t="s">
        <v>534</v>
      </c>
      <c r="C126">
        <v>2024</v>
      </c>
      <c r="D126">
        <f>203</f>
        <v>203</v>
      </c>
      <c r="E126">
        <v>9</v>
      </c>
      <c r="F126" t="s">
        <v>531</v>
      </c>
      <c r="G126" t="s">
        <v>114</v>
      </c>
      <c r="H126" t="s">
        <v>64</v>
      </c>
      <c r="I126" t="s">
        <v>535</v>
      </c>
      <c r="J126" t="s">
        <v>50</v>
      </c>
      <c r="K126">
        <v>26.5</v>
      </c>
      <c r="L126">
        <v>29.7</v>
      </c>
      <c r="M126">
        <v>79.099999999999994</v>
      </c>
      <c r="N126">
        <v>8837</v>
      </c>
      <c r="O126">
        <v>200</v>
      </c>
      <c r="P126">
        <v>79.099999999999994</v>
      </c>
      <c r="Q126">
        <v>172</v>
      </c>
      <c r="R126">
        <v>162</v>
      </c>
      <c r="S126">
        <v>0.1192605843768634</v>
      </c>
      <c r="T126" t="s">
        <v>58</v>
      </c>
      <c r="U126">
        <v>38366</v>
      </c>
      <c r="V126">
        <v>26</v>
      </c>
      <c r="W126">
        <v>29</v>
      </c>
      <c r="X126">
        <v>1677</v>
      </c>
      <c r="Y126">
        <v>27.2</v>
      </c>
      <c r="Z126" t="s">
        <v>82</v>
      </c>
      <c r="AA126">
        <v>58</v>
      </c>
      <c r="AB126">
        <v>42</v>
      </c>
      <c r="AC126" t="s">
        <v>53</v>
      </c>
      <c r="AD126">
        <v>28259</v>
      </c>
      <c r="AE126">
        <v>12494</v>
      </c>
      <c r="AF126">
        <v>559.59</v>
      </c>
      <c r="AG126">
        <v>23</v>
      </c>
      <c r="AH126">
        <v>21</v>
      </c>
      <c r="AI126">
        <v>55.883456521739127</v>
      </c>
      <c r="AJ126">
        <v>36.42</v>
      </c>
      <c r="AK126">
        <v>48.16</v>
      </c>
      <c r="AL126">
        <v>22.85</v>
      </c>
      <c r="AM126">
        <v>203</v>
      </c>
      <c r="AN126">
        <v>85.63</v>
      </c>
      <c r="AO126">
        <v>112.26</v>
      </c>
      <c r="AP126">
        <v>27.2</v>
      </c>
      <c r="AQ126">
        <v>26</v>
      </c>
      <c r="AR126">
        <v>45.2</v>
      </c>
    </row>
    <row r="127" spans="1:44" x14ac:dyDescent="0.3">
      <c r="A127">
        <v>126</v>
      </c>
      <c r="B127" t="s">
        <v>536</v>
      </c>
      <c r="C127">
        <v>2024</v>
      </c>
      <c r="D127" t="s">
        <v>537</v>
      </c>
      <c r="E127">
        <v>2</v>
      </c>
      <c r="F127" t="s">
        <v>538</v>
      </c>
      <c r="G127" t="s">
        <v>539</v>
      </c>
      <c r="H127" t="s">
        <v>108</v>
      </c>
      <c r="I127" t="s">
        <v>540</v>
      </c>
      <c r="J127" t="s">
        <v>50</v>
      </c>
      <c r="K127">
        <v>46.3</v>
      </c>
      <c r="L127">
        <v>27.1</v>
      </c>
      <c r="M127">
        <v>51</v>
      </c>
      <c r="N127">
        <v>2517</v>
      </c>
      <c r="O127">
        <v>254</v>
      </c>
      <c r="P127">
        <v>51</v>
      </c>
      <c r="Q127">
        <v>181</v>
      </c>
      <c r="R127">
        <v>323</v>
      </c>
      <c r="S127">
        <v>0.1905476369092273</v>
      </c>
      <c r="T127" t="s">
        <v>58</v>
      </c>
      <c r="U127">
        <v>19350</v>
      </c>
      <c r="V127">
        <v>16</v>
      </c>
      <c r="W127">
        <v>18</v>
      </c>
      <c r="X127">
        <v>1333</v>
      </c>
      <c r="Y127">
        <v>20.6</v>
      </c>
      <c r="Z127" t="s">
        <v>138</v>
      </c>
      <c r="AA127">
        <v>60</v>
      </c>
      <c r="AB127">
        <v>40</v>
      </c>
      <c r="AC127" t="s">
        <v>53</v>
      </c>
      <c r="AD127">
        <v>13030</v>
      </c>
      <c r="AE127">
        <v>5673</v>
      </c>
      <c r="AF127">
        <v>249.89</v>
      </c>
      <c r="AG127">
        <v>4</v>
      </c>
      <c r="AH127">
        <v>320</v>
      </c>
      <c r="AI127">
        <v>48.220999999999997</v>
      </c>
      <c r="AJ127">
        <v>48.63</v>
      </c>
      <c r="AK127">
        <v>56.06</v>
      </c>
      <c r="AL127">
        <v>27.93</v>
      </c>
      <c r="AM127">
        <v>206</v>
      </c>
      <c r="AN127">
        <v>85.42</v>
      </c>
      <c r="AO127">
        <v>159.80000000000001</v>
      </c>
      <c r="AP127">
        <v>20.6</v>
      </c>
      <c r="AQ127">
        <v>16</v>
      </c>
      <c r="AR127">
        <v>45</v>
      </c>
    </row>
    <row r="128" spans="1:44" x14ac:dyDescent="0.3">
      <c r="A128">
        <v>127</v>
      </c>
      <c r="B128" t="s">
        <v>541</v>
      </c>
      <c r="C128">
        <v>2024</v>
      </c>
      <c r="D128" t="s">
        <v>542</v>
      </c>
      <c r="E128">
        <v>10</v>
      </c>
      <c r="F128" t="s">
        <v>543</v>
      </c>
      <c r="G128" t="s">
        <v>180</v>
      </c>
      <c r="H128" t="s">
        <v>48</v>
      </c>
      <c r="I128" t="s">
        <v>201</v>
      </c>
      <c r="J128" t="s">
        <v>50</v>
      </c>
      <c r="K128">
        <v>39.6</v>
      </c>
      <c r="L128">
        <v>15.7</v>
      </c>
      <c r="M128">
        <v>68.099999999999994</v>
      </c>
      <c r="N128">
        <v>9840</v>
      </c>
      <c r="O128">
        <v>167826</v>
      </c>
      <c r="P128">
        <v>68.099999999999994</v>
      </c>
      <c r="Q128">
        <v>395</v>
      </c>
      <c r="R128">
        <v>67</v>
      </c>
      <c r="S128">
        <v>4.51</v>
      </c>
      <c r="T128" t="s">
        <v>96</v>
      </c>
      <c r="U128">
        <v>31704</v>
      </c>
      <c r="V128">
        <v>18</v>
      </c>
      <c r="W128">
        <v>20</v>
      </c>
      <c r="X128">
        <v>2598</v>
      </c>
      <c r="Y128">
        <v>19.2</v>
      </c>
      <c r="Z128" t="s">
        <v>457</v>
      </c>
      <c r="AA128">
        <v>57</v>
      </c>
      <c r="AB128">
        <v>43</v>
      </c>
      <c r="AC128" t="s">
        <v>53</v>
      </c>
      <c r="AD128">
        <v>22114</v>
      </c>
      <c r="AE128">
        <v>9835</v>
      </c>
      <c r="AF128">
        <v>159</v>
      </c>
      <c r="AG128">
        <v>9</v>
      </c>
      <c r="AH128">
        <v>48</v>
      </c>
      <c r="AI128">
        <v>67.177444444444447</v>
      </c>
      <c r="AJ128">
        <v>55.29</v>
      </c>
      <c r="AK128">
        <v>72.84</v>
      </c>
      <c r="AL128">
        <v>31.25</v>
      </c>
      <c r="AM128">
        <v>207</v>
      </c>
      <c r="AN128">
        <v>85.35</v>
      </c>
      <c r="AO128">
        <v>67.66</v>
      </c>
      <c r="AP128">
        <v>19.2</v>
      </c>
      <c r="AQ128">
        <v>18</v>
      </c>
      <c r="AR128">
        <v>44.9</v>
      </c>
    </row>
    <row r="129" spans="1:44" x14ac:dyDescent="0.3">
      <c r="A129">
        <v>128</v>
      </c>
      <c r="B129" t="s">
        <v>544</v>
      </c>
      <c r="C129">
        <v>2024</v>
      </c>
      <c r="D129" t="s">
        <v>545</v>
      </c>
      <c r="E129">
        <v>22</v>
      </c>
      <c r="F129" t="s">
        <v>546</v>
      </c>
      <c r="G129" t="s">
        <v>47</v>
      </c>
      <c r="H129" t="s">
        <v>48</v>
      </c>
      <c r="I129" t="s">
        <v>547</v>
      </c>
      <c r="J129" t="s">
        <v>50</v>
      </c>
      <c r="K129">
        <v>29.6</v>
      </c>
      <c r="L129">
        <v>32.5</v>
      </c>
      <c r="M129">
        <v>42.1</v>
      </c>
      <c r="N129">
        <v>4977</v>
      </c>
      <c r="O129">
        <v>254</v>
      </c>
      <c r="P129">
        <v>42.1</v>
      </c>
      <c r="Q129">
        <v>191</v>
      </c>
      <c r="R129">
        <v>348</v>
      </c>
      <c r="S129">
        <v>0.21617021276595741</v>
      </c>
      <c r="T129" t="s">
        <v>58</v>
      </c>
      <c r="U129">
        <v>12755</v>
      </c>
      <c r="V129">
        <v>40</v>
      </c>
      <c r="W129">
        <v>36</v>
      </c>
      <c r="X129">
        <v>1175</v>
      </c>
      <c r="Y129">
        <v>15.3</v>
      </c>
      <c r="Z129" t="s">
        <v>110</v>
      </c>
      <c r="AA129">
        <v>58</v>
      </c>
      <c r="AB129">
        <v>42</v>
      </c>
      <c r="AC129" t="s">
        <v>53</v>
      </c>
      <c r="AD129">
        <v>8117</v>
      </c>
      <c r="AE129">
        <v>3758</v>
      </c>
      <c r="AF129">
        <v>614.48</v>
      </c>
      <c r="AG129">
        <v>69</v>
      </c>
      <c r="AH129">
        <v>1</v>
      </c>
      <c r="AI129">
        <v>50.817340579710141</v>
      </c>
      <c r="AJ129">
        <v>35.82</v>
      </c>
      <c r="AK129">
        <v>38.92</v>
      </c>
      <c r="AL129">
        <v>35.29</v>
      </c>
      <c r="AM129">
        <v>208</v>
      </c>
      <c r="AN129">
        <v>85.28</v>
      </c>
      <c r="AO129">
        <v>164.46</v>
      </c>
      <c r="AP129">
        <v>15.3</v>
      </c>
      <c r="AQ129">
        <v>40</v>
      </c>
      <c r="AR129">
        <v>44.6</v>
      </c>
    </row>
    <row r="130" spans="1:44" x14ac:dyDescent="0.3">
      <c r="A130">
        <v>129</v>
      </c>
      <c r="B130" t="s">
        <v>548</v>
      </c>
      <c r="C130">
        <v>2024</v>
      </c>
      <c r="D130" t="s">
        <v>549</v>
      </c>
      <c r="E130">
        <v>12</v>
      </c>
      <c r="F130" t="s">
        <v>550</v>
      </c>
      <c r="G130" t="s">
        <v>180</v>
      </c>
      <c r="H130" t="s">
        <v>48</v>
      </c>
      <c r="I130" t="s">
        <v>551</v>
      </c>
      <c r="J130" t="s">
        <v>50</v>
      </c>
      <c r="K130">
        <v>20.6</v>
      </c>
      <c r="L130">
        <v>38.299999999999997</v>
      </c>
      <c r="M130">
        <v>65.3</v>
      </c>
      <c r="N130">
        <v>1991</v>
      </c>
      <c r="O130">
        <v>275</v>
      </c>
      <c r="P130">
        <v>65.3</v>
      </c>
      <c r="Q130">
        <v>209</v>
      </c>
      <c r="R130">
        <v>422</v>
      </c>
      <c r="S130">
        <v>0.23364485981308411</v>
      </c>
      <c r="T130" t="s">
        <v>77</v>
      </c>
      <c r="U130">
        <v>9964</v>
      </c>
      <c r="V130">
        <v>38</v>
      </c>
      <c r="W130">
        <v>43</v>
      </c>
      <c r="X130">
        <v>1177</v>
      </c>
      <c r="Y130">
        <v>13.9</v>
      </c>
      <c r="Z130" t="s">
        <v>152</v>
      </c>
      <c r="AA130">
        <v>37</v>
      </c>
      <c r="AB130">
        <v>63</v>
      </c>
      <c r="AC130" t="s">
        <v>53</v>
      </c>
      <c r="AD130">
        <v>4777</v>
      </c>
      <c r="AE130">
        <v>3427</v>
      </c>
      <c r="AF130">
        <v>159</v>
      </c>
      <c r="AG130">
        <v>9</v>
      </c>
      <c r="AH130">
        <v>48</v>
      </c>
      <c r="AI130">
        <v>67.177444444444447</v>
      </c>
      <c r="AJ130">
        <v>55.29</v>
      </c>
      <c r="AK130">
        <v>72.84</v>
      </c>
      <c r="AL130">
        <v>31.25</v>
      </c>
      <c r="AM130">
        <v>210</v>
      </c>
      <c r="AN130">
        <v>85.13</v>
      </c>
      <c r="AO130">
        <v>207.98</v>
      </c>
      <c r="AP130">
        <v>13.9</v>
      </c>
      <c r="AQ130">
        <v>38</v>
      </c>
      <c r="AR130">
        <v>44.4</v>
      </c>
    </row>
    <row r="131" spans="1:44" x14ac:dyDescent="0.3">
      <c r="A131">
        <v>130</v>
      </c>
      <c r="B131" t="s">
        <v>552</v>
      </c>
      <c r="C131">
        <v>2024</v>
      </c>
      <c r="D131" t="s">
        <v>553</v>
      </c>
      <c r="E131">
        <v>2</v>
      </c>
      <c r="F131" t="s">
        <v>554</v>
      </c>
      <c r="G131" t="s">
        <v>555</v>
      </c>
      <c r="H131" t="s">
        <v>100</v>
      </c>
      <c r="I131" t="s">
        <v>556</v>
      </c>
      <c r="J131" t="s">
        <v>50</v>
      </c>
      <c r="K131">
        <v>66.599999999999994</v>
      </c>
      <c r="L131">
        <v>50.1</v>
      </c>
      <c r="M131">
        <v>7</v>
      </c>
      <c r="N131">
        <v>7694</v>
      </c>
      <c r="O131">
        <v>460</v>
      </c>
      <c r="P131">
        <v>7</v>
      </c>
      <c r="Q131">
        <v>180</v>
      </c>
      <c r="R131">
        <v>435</v>
      </c>
      <c r="S131">
        <v>0.1371496720333929</v>
      </c>
      <c r="T131" t="s">
        <v>71</v>
      </c>
      <c r="U131">
        <v>34552</v>
      </c>
      <c r="V131">
        <v>3</v>
      </c>
      <c r="W131">
        <v>4</v>
      </c>
      <c r="X131">
        <v>3354</v>
      </c>
      <c r="Y131">
        <v>12.7</v>
      </c>
      <c r="Z131" t="s">
        <v>116</v>
      </c>
      <c r="AA131">
        <v>55</v>
      </c>
      <c r="AB131">
        <v>45</v>
      </c>
      <c r="AC131" t="s">
        <v>53</v>
      </c>
      <c r="AD131">
        <v>21645</v>
      </c>
      <c r="AE131">
        <v>12528</v>
      </c>
      <c r="AF131">
        <v>1257.07</v>
      </c>
      <c r="AG131">
        <v>10</v>
      </c>
      <c r="AH131">
        <v>612</v>
      </c>
      <c r="AI131">
        <v>27.2866</v>
      </c>
      <c r="AJ131">
        <v>27.35</v>
      </c>
      <c r="AK131">
        <v>13.88</v>
      </c>
      <c r="AL131">
        <v>3.81</v>
      </c>
      <c r="AM131">
        <v>211</v>
      </c>
      <c r="AN131">
        <v>85.06</v>
      </c>
      <c r="AO131">
        <v>178.2</v>
      </c>
      <c r="AP131">
        <v>12.7</v>
      </c>
      <c r="AQ131">
        <v>3</v>
      </c>
      <c r="AR131">
        <v>44.3</v>
      </c>
    </row>
    <row r="132" spans="1:44" x14ac:dyDescent="0.3">
      <c r="A132">
        <v>131</v>
      </c>
      <c r="B132" t="s">
        <v>557</v>
      </c>
      <c r="C132">
        <v>2024</v>
      </c>
      <c r="D132" t="s">
        <v>558</v>
      </c>
      <c r="E132">
        <v>44</v>
      </c>
      <c r="F132" t="s">
        <v>559</v>
      </c>
      <c r="G132" t="s">
        <v>47</v>
      </c>
      <c r="H132" t="s">
        <v>48</v>
      </c>
      <c r="I132" t="s">
        <v>560</v>
      </c>
      <c r="J132" t="s">
        <v>50</v>
      </c>
      <c r="K132">
        <v>30.5</v>
      </c>
      <c r="L132">
        <v>66.8</v>
      </c>
      <c r="M132">
        <v>34.6</v>
      </c>
      <c r="N132">
        <v>2765</v>
      </c>
      <c r="O132">
        <v>541</v>
      </c>
      <c r="P132">
        <v>34.6</v>
      </c>
      <c r="Q132">
        <v>154</v>
      </c>
      <c r="R132">
        <v>520</v>
      </c>
      <c r="S132">
        <v>0.37439446366782009</v>
      </c>
      <c r="T132" t="s">
        <v>58</v>
      </c>
      <c r="U132">
        <v>16110</v>
      </c>
      <c r="V132">
        <v>25</v>
      </c>
      <c r="W132">
        <v>25</v>
      </c>
      <c r="X132">
        <v>1445</v>
      </c>
      <c r="Y132">
        <v>13.9</v>
      </c>
      <c r="Z132" t="s">
        <v>124</v>
      </c>
      <c r="AA132">
        <v>40</v>
      </c>
      <c r="AB132">
        <v>60</v>
      </c>
      <c r="AC132" t="s">
        <v>53</v>
      </c>
      <c r="AD132">
        <v>11617</v>
      </c>
      <c r="AE132">
        <v>6728</v>
      </c>
      <c r="AF132">
        <v>614.48</v>
      </c>
      <c r="AG132">
        <v>69</v>
      </c>
      <c r="AH132">
        <v>1</v>
      </c>
      <c r="AI132">
        <v>50.817340579710141</v>
      </c>
      <c r="AJ132">
        <v>35.82</v>
      </c>
      <c r="AK132">
        <v>38.92</v>
      </c>
      <c r="AL132">
        <v>35.29</v>
      </c>
      <c r="AM132">
        <v>212</v>
      </c>
      <c r="AN132">
        <v>84.99</v>
      </c>
      <c r="AO132">
        <v>228.76</v>
      </c>
      <c r="AP132">
        <v>13.9</v>
      </c>
      <c r="AQ132">
        <v>25</v>
      </c>
      <c r="AR132">
        <v>44.2</v>
      </c>
    </row>
    <row r="133" spans="1:44" x14ac:dyDescent="0.3">
      <c r="A133">
        <v>132</v>
      </c>
      <c r="B133" t="s">
        <v>561</v>
      </c>
      <c r="C133">
        <v>2024</v>
      </c>
      <c r="D133" t="s">
        <v>562</v>
      </c>
      <c r="E133">
        <v>8</v>
      </c>
      <c r="F133" t="s">
        <v>563</v>
      </c>
      <c r="G133" t="s">
        <v>131</v>
      </c>
      <c r="H133" t="s">
        <v>100</v>
      </c>
      <c r="I133" t="s">
        <v>132</v>
      </c>
      <c r="J133" t="s">
        <v>65</v>
      </c>
      <c r="K133">
        <v>51.4</v>
      </c>
      <c r="L133">
        <v>93.5</v>
      </c>
      <c r="M133">
        <v>6</v>
      </c>
      <c r="N133">
        <v>35404</v>
      </c>
      <c r="O133">
        <v>363</v>
      </c>
      <c r="P133">
        <v>6</v>
      </c>
      <c r="Q133">
        <v>201</v>
      </c>
      <c r="R133">
        <v>303</v>
      </c>
      <c r="S133">
        <v>9.0119165839126103E-2</v>
      </c>
      <c r="T133" t="s">
        <v>51</v>
      </c>
      <c r="U133">
        <v>33577</v>
      </c>
      <c r="V133">
        <v>8</v>
      </c>
      <c r="W133">
        <v>10</v>
      </c>
      <c r="X133">
        <v>4028</v>
      </c>
      <c r="Y133">
        <v>10.199999999999999</v>
      </c>
      <c r="Z133" t="s">
        <v>564</v>
      </c>
      <c r="AA133">
        <v>37</v>
      </c>
      <c r="AB133">
        <v>63</v>
      </c>
      <c r="AC133" t="s">
        <v>53</v>
      </c>
      <c r="AD133">
        <v>21896</v>
      </c>
      <c r="AE133">
        <v>12440</v>
      </c>
      <c r="AF133">
        <v>1349.57</v>
      </c>
      <c r="AG133">
        <v>37</v>
      </c>
      <c r="AH133">
        <v>29</v>
      </c>
      <c r="AI133">
        <v>35.237824324324329</v>
      </c>
      <c r="AJ133">
        <v>25.61</v>
      </c>
      <c r="AK133">
        <v>22.27</v>
      </c>
      <c r="AL133">
        <v>5.48</v>
      </c>
      <c r="AM133">
        <v>214</v>
      </c>
      <c r="AN133">
        <v>84.85</v>
      </c>
      <c r="AO133">
        <v>124.8</v>
      </c>
      <c r="AP133">
        <v>10.199999999999999</v>
      </c>
      <c r="AQ133">
        <v>8</v>
      </c>
      <c r="AR133">
        <v>44</v>
      </c>
    </row>
    <row r="134" spans="1:44" x14ac:dyDescent="0.3">
      <c r="A134">
        <v>133</v>
      </c>
      <c r="B134" t="s">
        <v>565</v>
      </c>
      <c r="C134">
        <v>2024</v>
      </c>
      <c r="D134" t="s">
        <v>566</v>
      </c>
      <c r="E134">
        <v>3</v>
      </c>
      <c r="F134" t="s">
        <v>567</v>
      </c>
      <c r="G134" t="s">
        <v>568</v>
      </c>
      <c r="H134" t="s">
        <v>100</v>
      </c>
      <c r="I134" t="s">
        <v>569</v>
      </c>
      <c r="J134" t="s">
        <v>50</v>
      </c>
      <c r="K134">
        <v>33.200000000000003</v>
      </c>
      <c r="L134">
        <v>23.6</v>
      </c>
      <c r="M134">
        <v>99.9</v>
      </c>
      <c r="N134">
        <v>6782</v>
      </c>
      <c r="O134">
        <v>151</v>
      </c>
      <c r="P134">
        <v>99.9</v>
      </c>
      <c r="Q134">
        <v>404</v>
      </c>
      <c r="R134">
        <v>108</v>
      </c>
      <c r="S134">
        <v>0.1440839694656488</v>
      </c>
      <c r="T134" t="s">
        <v>77</v>
      </c>
      <c r="U134">
        <v>24995</v>
      </c>
      <c r="V134">
        <v>5</v>
      </c>
      <c r="W134">
        <v>7</v>
      </c>
      <c r="X134">
        <v>1048</v>
      </c>
      <c r="Y134">
        <v>24.2</v>
      </c>
      <c r="Z134" t="s">
        <v>457</v>
      </c>
      <c r="AA134">
        <v>57</v>
      </c>
      <c r="AB134">
        <v>43</v>
      </c>
      <c r="AC134" t="s">
        <v>53</v>
      </c>
      <c r="AD134">
        <v>15332</v>
      </c>
      <c r="AE134">
        <v>9047</v>
      </c>
      <c r="AF134">
        <v>610.79999999999995</v>
      </c>
      <c r="AG134">
        <v>3</v>
      </c>
      <c r="AH134">
        <v>209</v>
      </c>
      <c r="AI134">
        <v>47.237666666666662</v>
      </c>
      <c r="AJ134">
        <v>30</v>
      </c>
      <c r="AK134">
        <v>49.3</v>
      </c>
      <c r="AL134">
        <v>10.72</v>
      </c>
      <c r="AM134">
        <v>215</v>
      </c>
      <c r="AN134">
        <v>84.77</v>
      </c>
      <c r="AO134">
        <v>103.14</v>
      </c>
      <c r="AP134">
        <v>24.2</v>
      </c>
      <c r="AQ134">
        <v>5</v>
      </c>
      <c r="AR134">
        <v>43.9</v>
      </c>
    </row>
    <row r="135" spans="1:44" x14ac:dyDescent="0.3">
      <c r="A135">
        <v>134</v>
      </c>
      <c r="B135" t="s">
        <v>570</v>
      </c>
      <c r="C135">
        <v>2024</v>
      </c>
      <c r="D135" t="s">
        <v>571</v>
      </c>
      <c r="E135">
        <v>16</v>
      </c>
      <c r="F135" t="s">
        <v>572</v>
      </c>
      <c r="G135" t="s">
        <v>99</v>
      </c>
      <c r="H135" t="s">
        <v>100</v>
      </c>
      <c r="I135" t="s">
        <v>189</v>
      </c>
      <c r="J135" t="s">
        <v>50</v>
      </c>
      <c r="K135">
        <v>34.4</v>
      </c>
      <c r="L135">
        <v>13.1</v>
      </c>
      <c r="M135">
        <v>91.8</v>
      </c>
      <c r="N135">
        <v>7658</v>
      </c>
      <c r="O135">
        <v>541</v>
      </c>
      <c r="P135">
        <v>91.8</v>
      </c>
      <c r="Q135">
        <v>384</v>
      </c>
      <c r="R135">
        <v>156</v>
      </c>
      <c r="S135">
        <v>0.19425493716337519</v>
      </c>
      <c r="T135" t="s">
        <v>58</v>
      </c>
      <c r="U135">
        <v>31632</v>
      </c>
      <c r="V135">
        <v>15</v>
      </c>
      <c r="W135">
        <v>16</v>
      </c>
      <c r="X135">
        <v>2785</v>
      </c>
      <c r="Y135">
        <v>11.3</v>
      </c>
      <c r="Z135" t="s">
        <v>241</v>
      </c>
      <c r="AA135">
        <v>41</v>
      </c>
      <c r="AB135">
        <v>59</v>
      </c>
      <c r="AC135" t="s">
        <v>53</v>
      </c>
      <c r="AD135">
        <v>22566</v>
      </c>
      <c r="AE135">
        <v>10848</v>
      </c>
      <c r="AF135">
        <v>616.32000000000005</v>
      </c>
      <c r="AG135">
        <v>35</v>
      </c>
      <c r="AH135">
        <v>12</v>
      </c>
      <c r="AI135">
        <v>56.538228571428569</v>
      </c>
      <c r="AJ135">
        <v>21.88</v>
      </c>
      <c r="AK135">
        <v>70.61</v>
      </c>
      <c r="AL135">
        <v>14.17</v>
      </c>
      <c r="AM135">
        <v>216</v>
      </c>
      <c r="AN135">
        <v>84.7</v>
      </c>
      <c r="AO135">
        <v>117.48</v>
      </c>
      <c r="AP135">
        <v>11.3</v>
      </c>
      <c r="AQ135">
        <v>15</v>
      </c>
      <c r="AR135">
        <v>43.5</v>
      </c>
    </row>
    <row r="136" spans="1:44" x14ac:dyDescent="0.3">
      <c r="A136">
        <v>135</v>
      </c>
      <c r="B136" t="s">
        <v>573</v>
      </c>
      <c r="C136">
        <v>2024</v>
      </c>
      <c r="D136" t="s">
        <v>574</v>
      </c>
      <c r="E136">
        <v>3</v>
      </c>
      <c r="F136" t="s">
        <v>575</v>
      </c>
      <c r="G136" t="s">
        <v>239</v>
      </c>
      <c r="H136" t="s">
        <v>100</v>
      </c>
      <c r="I136" t="s">
        <v>239</v>
      </c>
      <c r="J136" t="s">
        <v>50</v>
      </c>
      <c r="K136">
        <v>33.299999999999997</v>
      </c>
      <c r="L136">
        <v>67.900000000000006</v>
      </c>
      <c r="M136">
        <v>52.1</v>
      </c>
      <c r="N136">
        <v>1901</v>
      </c>
      <c r="O136">
        <v>58016</v>
      </c>
      <c r="P136">
        <v>52.1</v>
      </c>
      <c r="Q136">
        <v>262</v>
      </c>
      <c r="R136">
        <v>57</v>
      </c>
      <c r="S136">
        <v>1.75</v>
      </c>
      <c r="T136" t="s">
        <v>77</v>
      </c>
      <c r="U136">
        <v>16944</v>
      </c>
      <c r="V136">
        <v>9</v>
      </c>
      <c r="W136">
        <v>9</v>
      </c>
      <c r="X136">
        <v>2112</v>
      </c>
      <c r="Y136">
        <v>14.6</v>
      </c>
      <c r="Z136" t="s">
        <v>564</v>
      </c>
      <c r="AA136">
        <v>37</v>
      </c>
      <c r="AB136">
        <v>63</v>
      </c>
      <c r="AC136" t="s">
        <v>53</v>
      </c>
      <c r="AD136">
        <v>10562</v>
      </c>
      <c r="AE136">
        <v>7798</v>
      </c>
      <c r="AF136">
        <v>1161.4000000000001</v>
      </c>
      <c r="AG136">
        <v>22</v>
      </c>
      <c r="AH136">
        <v>154</v>
      </c>
      <c r="AI136">
        <v>33.419431818181813</v>
      </c>
      <c r="AJ136">
        <v>25.98</v>
      </c>
      <c r="AK136">
        <v>28.31</v>
      </c>
      <c r="AL136">
        <v>8.91</v>
      </c>
      <c r="AM136">
        <v>217</v>
      </c>
      <c r="AN136">
        <v>84.63</v>
      </c>
      <c r="AO136">
        <v>54.06</v>
      </c>
      <c r="AP136">
        <v>14.6</v>
      </c>
      <c r="AQ136">
        <v>9</v>
      </c>
      <c r="AR136">
        <v>43.3</v>
      </c>
    </row>
    <row r="137" spans="1:44" x14ac:dyDescent="0.3">
      <c r="A137">
        <v>136</v>
      </c>
      <c r="B137" t="s">
        <v>576</v>
      </c>
      <c r="C137">
        <v>2024</v>
      </c>
      <c r="D137" t="s">
        <v>577</v>
      </c>
      <c r="E137">
        <v>21</v>
      </c>
      <c r="F137" t="s">
        <v>578</v>
      </c>
      <c r="G137" t="s">
        <v>47</v>
      </c>
      <c r="H137" t="s">
        <v>48</v>
      </c>
      <c r="I137" t="s">
        <v>579</v>
      </c>
      <c r="J137" t="s">
        <v>50</v>
      </c>
      <c r="K137">
        <v>22.9</v>
      </c>
      <c r="L137">
        <v>8.9</v>
      </c>
      <c r="M137">
        <v>70.900000000000006</v>
      </c>
      <c r="N137">
        <v>7148</v>
      </c>
      <c r="O137">
        <v>163</v>
      </c>
      <c r="P137">
        <v>70.900000000000006</v>
      </c>
      <c r="Q137">
        <v>180</v>
      </c>
      <c r="R137">
        <v>482</v>
      </c>
      <c r="S137">
        <v>0.12348484848484841</v>
      </c>
      <c r="T137" t="s">
        <v>71</v>
      </c>
      <c r="U137">
        <v>17640</v>
      </c>
      <c r="V137">
        <v>34</v>
      </c>
      <c r="W137">
        <v>37</v>
      </c>
      <c r="X137">
        <v>1320</v>
      </c>
      <c r="Y137">
        <v>17.3</v>
      </c>
      <c r="Z137" t="s">
        <v>146</v>
      </c>
      <c r="AA137">
        <v>55</v>
      </c>
      <c r="AB137">
        <v>45</v>
      </c>
      <c r="AC137" t="s">
        <v>53</v>
      </c>
      <c r="AD137">
        <v>12785</v>
      </c>
      <c r="AE137">
        <v>5230</v>
      </c>
      <c r="AF137">
        <v>614.48</v>
      </c>
      <c r="AG137">
        <v>69</v>
      </c>
      <c r="AH137">
        <v>1</v>
      </c>
      <c r="AI137">
        <v>50.817340579710141</v>
      </c>
      <c r="AJ137">
        <v>35.82</v>
      </c>
      <c r="AK137">
        <v>38.92</v>
      </c>
      <c r="AL137">
        <v>35.29</v>
      </c>
      <c r="AM137">
        <v>218</v>
      </c>
      <c r="AN137">
        <v>84.56</v>
      </c>
      <c r="AO137">
        <v>235.34</v>
      </c>
      <c r="AP137">
        <v>17.3</v>
      </c>
      <c r="AQ137">
        <v>34</v>
      </c>
      <c r="AR137">
        <v>43.1</v>
      </c>
    </row>
    <row r="138" spans="1:44" x14ac:dyDescent="0.3">
      <c r="A138">
        <v>137</v>
      </c>
      <c r="B138" t="s">
        <v>580</v>
      </c>
      <c r="C138">
        <v>2024</v>
      </c>
      <c r="D138">
        <f>220</f>
        <v>220</v>
      </c>
      <c r="E138">
        <v>7</v>
      </c>
      <c r="F138" t="s">
        <v>581</v>
      </c>
      <c r="G138" t="s">
        <v>294</v>
      </c>
      <c r="H138" t="s">
        <v>48</v>
      </c>
      <c r="I138" t="s">
        <v>582</v>
      </c>
      <c r="J138" t="s">
        <v>50</v>
      </c>
      <c r="K138">
        <v>29.4</v>
      </c>
      <c r="L138">
        <v>15.1</v>
      </c>
      <c r="M138">
        <v>65.099999999999994</v>
      </c>
      <c r="N138">
        <v>5984</v>
      </c>
      <c r="O138">
        <v>151</v>
      </c>
      <c r="P138">
        <v>65.099999999999994</v>
      </c>
      <c r="Q138">
        <v>323</v>
      </c>
      <c r="R138">
        <v>286</v>
      </c>
      <c r="S138">
        <v>0.10216508795669819</v>
      </c>
      <c r="T138" t="s">
        <v>96</v>
      </c>
      <c r="U138">
        <v>14478</v>
      </c>
      <c r="V138">
        <v>23</v>
      </c>
      <c r="W138">
        <v>23</v>
      </c>
      <c r="X138">
        <v>1478</v>
      </c>
      <c r="Y138">
        <v>10.5</v>
      </c>
      <c r="Z138" t="s">
        <v>59</v>
      </c>
      <c r="AA138">
        <v>49.479474770000003</v>
      </c>
      <c r="AB138">
        <v>50.520525229999997</v>
      </c>
      <c r="AC138" t="s">
        <v>53</v>
      </c>
      <c r="AD138">
        <v>9012</v>
      </c>
      <c r="AE138">
        <v>5229</v>
      </c>
      <c r="AF138">
        <v>428.7</v>
      </c>
      <c r="AG138">
        <v>5</v>
      </c>
      <c r="AH138">
        <v>80</v>
      </c>
      <c r="AI138">
        <v>64.5411</v>
      </c>
      <c r="AJ138">
        <v>43.78</v>
      </c>
      <c r="AK138">
        <v>56.61</v>
      </c>
      <c r="AL138">
        <v>32.76</v>
      </c>
      <c r="AM138">
        <v>220</v>
      </c>
      <c r="AN138">
        <v>84.42</v>
      </c>
      <c r="AO138">
        <v>153.46</v>
      </c>
      <c r="AP138">
        <v>10.5</v>
      </c>
      <c r="AQ138">
        <v>23</v>
      </c>
      <c r="AR138">
        <v>42.7</v>
      </c>
    </row>
    <row r="139" spans="1:44" x14ac:dyDescent="0.3">
      <c r="A139">
        <v>138</v>
      </c>
      <c r="B139" t="s">
        <v>583</v>
      </c>
      <c r="C139">
        <v>2024</v>
      </c>
      <c r="D139" t="s">
        <v>584</v>
      </c>
      <c r="E139">
        <v>52</v>
      </c>
      <c r="F139" t="s">
        <v>585</v>
      </c>
      <c r="G139" t="s">
        <v>63</v>
      </c>
      <c r="H139" t="s">
        <v>64</v>
      </c>
      <c r="I139" t="s">
        <v>586</v>
      </c>
      <c r="J139" t="s">
        <v>65</v>
      </c>
      <c r="K139">
        <v>22.1</v>
      </c>
      <c r="L139">
        <v>18.399999999999999</v>
      </c>
      <c r="M139">
        <v>51.6</v>
      </c>
      <c r="N139">
        <v>2163</v>
      </c>
      <c r="O139">
        <v>66</v>
      </c>
      <c r="P139">
        <v>51.6</v>
      </c>
      <c r="Q139">
        <v>185</v>
      </c>
      <c r="R139">
        <v>220</v>
      </c>
      <c r="S139">
        <v>3.5617916891527199E-2</v>
      </c>
      <c r="T139" t="s">
        <v>77</v>
      </c>
      <c r="U139">
        <v>9855</v>
      </c>
      <c r="V139">
        <v>34</v>
      </c>
      <c r="W139">
        <v>36</v>
      </c>
      <c r="X139">
        <v>1853</v>
      </c>
      <c r="Y139">
        <v>7.3</v>
      </c>
      <c r="Z139" t="s">
        <v>133</v>
      </c>
      <c r="AA139">
        <v>52</v>
      </c>
      <c r="AB139">
        <v>48</v>
      </c>
      <c r="AC139" t="s">
        <v>53</v>
      </c>
      <c r="AD139">
        <v>7448</v>
      </c>
      <c r="AE139">
        <v>3057</v>
      </c>
      <c r="AF139">
        <v>647.61</v>
      </c>
      <c r="AG139">
        <v>98</v>
      </c>
      <c r="AH139">
        <v>2</v>
      </c>
      <c r="AI139">
        <v>56.843244897959181</v>
      </c>
      <c r="AJ139">
        <v>29.74</v>
      </c>
      <c r="AK139">
        <v>38.11</v>
      </c>
      <c r="AL139">
        <v>19.260000000000002</v>
      </c>
      <c r="AM139">
        <v>224</v>
      </c>
      <c r="AN139">
        <v>84.13</v>
      </c>
      <c r="AO139">
        <v>118.96</v>
      </c>
      <c r="AP139">
        <v>7.3</v>
      </c>
      <c r="AQ139">
        <v>34</v>
      </c>
      <c r="AR139">
        <v>42.4</v>
      </c>
    </row>
    <row r="140" spans="1:44" x14ac:dyDescent="0.3">
      <c r="A140">
        <v>139</v>
      </c>
      <c r="B140" t="s">
        <v>587</v>
      </c>
      <c r="C140">
        <v>2024</v>
      </c>
      <c r="D140" t="s">
        <v>588</v>
      </c>
      <c r="E140">
        <v>1</v>
      </c>
      <c r="F140" t="s">
        <v>589</v>
      </c>
      <c r="G140" t="s">
        <v>590</v>
      </c>
      <c r="H140" t="s">
        <v>100</v>
      </c>
      <c r="I140" t="s">
        <v>591</v>
      </c>
      <c r="J140" t="s">
        <v>50</v>
      </c>
      <c r="K140">
        <v>41.5</v>
      </c>
      <c r="L140">
        <v>20</v>
      </c>
      <c r="M140">
        <v>100</v>
      </c>
      <c r="N140">
        <v>850</v>
      </c>
      <c r="O140">
        <v>405</v>
      </c>
      <c r="P140">
        <v>100</v>
      </c>
      <c r="Q140">
        <v>99</v>
      </c>
      <c r="R140">
        <v>342</v>
      </c>
      <c r="S140">
        <v>0.90807174887892361</v>
      </c>
      <c r="T140" t="s">
        <v>77</v>
      </c>
      <c r="U140">
        <v>4495</v>
      </c>
      <c r="V140">
        <v>1</v>
      </c>
      <c r="W140">
        <v>1</v>
      </c>
      <c r="X140">
        <v>446</v>
      </c>
      <c r="Y140">
        <v>9.6</v>
      </c>
      <c r="Z140" t="s">
        <v>592</v>
      </c>
      <c r="AA140">
        <v>26</v>
      </c>
      <c r="AB140">
        <v>74</v>
      </c>
      <c r="AC140" t="s">
        <v>53</v>
      </c>
      <c r="AD140">
        <v>4025</v>
      </c>
      <c r="AE140">
        <v>995</v>
      </c>
      <c r="AF140">
        <v>1100.42</v>
      </c>
      <c r="AG140">
        <v>16</v>
      </c>
      <c r="AH140">
        <v>218</v>
      </c>
      <c r="AI140">
        <v>38.128875000000001</v>
      </c>
      <c r="AJ140">
        <v>27.22</v>
      </c>
      <c r="AK140">
        <v>36.06</v>
      </c>
      <c r="AL140">
        <v>6.8</v>
      </c>
      <c r="AM140">
        <v>225</v>
      </c>
      <c r="AN140">
        <v>84.06</v>
      </c>
      <c r="AO140">
        <v>196.8</v>
      </c>
      <c r="AP140">
        <v>9.6</v>
      </c>
      <c r="AQ140">
        <v>1</v>
      </c>
      <c r="AR140">
        <v>42.1</v>
      </c>
    </row>
    <row r="141" spans="1:44" x14ac:dyDescent="0.3">
      <c r="A141">
        <v>140</v>
      </c>
      <c r="B141" t="s">
        <v>593</v>
      </c>
      <c r="C141">
        <v>2024</v>
      </c>
      <c r="D141" t="s">
        <v>594</v>
      </c>
      <c r="E141">
        <v>4</v>
      </c>
      <c r="F141" t="s">
        <v>595</v>
      </c>
      <c r="G141" t="s">
        <v>239</v>
      </c>
      <c r="H141" t="s">
        <v>100</v>
      </c>
      <c r="I141" t="s">
        <v>596</v>
      </c>
      <c r="J141" t="s">
        <v>50</v>
      </c>
      <c r="K141">
        <v>49.4</v>
      </c>
      <c r="L141">
        <v>75.599999999999994</v>
      </c>
      <c r="M141">
        <v>21.2</v>
      </c>
      <c r="N141">
        <v>8497</v>
      </c>
      <c r="O141">
        <v>60490</v>
      </c>
      <c r="P141">
        <v>21.2</v>
      </c>
      <c r="Q141">
        <v>201</v>
      </c>
      <c r="R141">
        <v>53.1</v>
      </c>
      <c r="S141">
        <v>4.45</v>
      </c>
      <c r="T141" t="s">
        <v>71</v>
      </c>
      <c r="U141">
        <v>20971</v>
      </c>
      <c r="V141">
        <v>11</v>
      </c>
      <c r="W141">
        <v>11</v>
      </c>
      <c r="X141">
        <v>2079</v>
      </c>
      <c r="Y141">
        <v>15.9</v>
      </c>
      <c r="Z141" t="s">
        <v>152</v>
      </c>
      <c r="AA141">
        <v>38</v>
      </c>
      <c r="AB141">
        <v>62</v>
      </c>
      <c r="AC141" t="s">
        <v>53</v>
      </c>
      <c r="AD141">
        <v>14983</v>
      </c>
      <c r="AE141">
        <v>6743</v>
      </c>
      <c r="AF141">
        <v>1161.4000000000001</v>
      </c>
      <c r="AG141">
        <v>22</v>
      </c>
      <c r="AH141">
        <v>154</v>
      </c>
      <c r="AI141">
        <v>33.419431818181813</v>
      </c>
      <c r="AJ141">
        <v>25.98</v>
      </c>
      <c r="AK141">
        <v>28.31</v>
      </c>
      <c r="AL141">
        <v>8.91</v>
      </c>
      <c r="AM141">
        <v>228</v>
      </c>
      <c r="AN141">
        <v>83.85</v>
      </c>
      <c r="AO141">
        <v>33.96</v>
      </c>
      <c r="AP141">
        <v>15.9</v>
      </c>
      <c r="AQ141">
        <v>11</v>
      </c>
      <c r="AR141">
        <v>41.8</v>
      </c>
    </row>
    <row r="142" spans="1:44" x14ac:dyDescent="0.3">
      <c r="A142">
        <v>141</v>
      </c>
      <c r="B142" t="s">
        <v>597</v>
      </c>
      <c r="C142">
        <v>2024</v>
      </c>
      <c r="D142">
        <f>230</f>
        <v>230</v>
      </c>
      <c r="E142">
        <v>1</v>
      </c>
      <c r="F142" t="s">
        <v>598</v>
      </c>
      <c r="G142" t="s">
        <v>599</v>
      </c>
      <c r="H142" t="s">
        <v>100</v>
      </c>
      <c r="I142" t="s">
        <v>600</v>
      </c>
      <c r="J142" t="s">
        <v>50</v>
      </c>
      <c r="K142">
        <v>51.4</v>
      </c>
      <c r="L142">
        <v>74.900000000000006</v>
      </c>
      <c r="M142">
        <v>1.4</v>
      </c>
      <c r="N142">
        <v>6575</v>
      </c>
      <c r="O142">
        <v>1748</v>
      </c>
      <c r="P142">
        <v>1.4</v>
      </c>
      <c r="Q142">
        <v>40</v>
      </c>
      <c r="R142">
        <v>31.4</v>
      </c>
      <c r="S142">
        <v>5.17</v>
      </c>
      <c r="T142" t="s">
        <v>77</v>
      </c>
      <c r="U142">
        <v>24303</v>
      </c>
      <c r="V142">
        <v>10</v>
      </c>
      <c r="W142">
        <v>26</v>
      </c>
      <c r="X142">
        <v>4047</v>
      </c>
      <c r="Y142">
        <v>5.9</v>
      </c>
      <c r="Z142" t="s">
        <v>82</v>
      </c>
      <c r="AA142">
        <v>61</v>
      </c>
      <c r="AB142">
        <v>39</v>
      </c>
      <c r="AC142" t="s">
        <v>53</v>
      </c>
      <c r="AD142">
        <v>15813</v>
      </c>
      <c r="AE142">
        <v>4508</v>
      </c>
      <c r="AF142">
        <v>917.63</v>
      </c>
      <c r="AG142">
        <v>2</v>
      </c>
      <c r="AH142">
        <v>1381</v>
      </c>
      <c r="AI142">
        <v>21.786750000000001</v>
      </c>
      <c r="AJ142">
        <v>20.73</v>
      </c>
      <c r="AK142">
        <v>4.62</v>
      </c>
      <c r="AL142">
        <v>20.190000000000001</v>
      </c>
      <c r="AM142">
        <v>230</v>
      </c>
      <c r="AN142">
        <v>83.7</v>
      </c>
      <c r="AO142">
        <v>13.4</v>
      </c>
      <c r="AP142">
        <v>5.9</v>
      </c>
      <c r="AQ142">
        <v>10</v>
      </c>
      <c r="AR142">
        <v>41.6</v>
      </c>
    </row>
    <row r="143" spans="1:44" x14ac:dyDescent="0.3">
      <c r="A143">
        <v>142</v>
      </c>
      <c r="B143" t="s">
        <v>601</v>
      </c>
      <c r="C143">
        <v>2024</v>
      </c>
      <c r="D143" t="s">
        <v>602</v>
      </c>
      <c r="E143">
        <v>10</v>
      </c>
      <c r="F143" t="s">
        <v>603</v>
      </c>
      <c r="G143" t="s">
        <v>150</v>
      </c>
      <c r="H143" t="s">
        <v>48</v>
      </c>
      <c r="I143" t="s">
        <v>604</v>
      </c>
      <c r="J143" t="s">
        <v>50</v>
      </c>
      <c r="K143">
        <v>47.4</v>
      </c>
      <c r="L143">
        <v>29</v>
      </c>
      <c r="M143">
        <v>17.7</v>
      </c>
      <c r="N143">
        <v>5150</v>
      </c>
      <c r="O143">
        <v>187</v>
      </c>
      <c r="P143">
        <v>17.7</v>
      </c>
      <c r="Q143">
        <v>225</v>
      </c>
      <c r="R143">
        <v>188</v>
      </c>
      <c r="S143">
        <v>5.0309389292440103E-2</v>
      </c>
      <c r="T143" t="s">
        <v>96</v>
      </c>
      <c r="U143">
        <v>23349</v>
      </c>
      <c r="V143">
        <v>14</v>
      </c>
      <c r="W143">
        <v>14</v>
      </c>
      <c r="X143">
        <v>3717</v>
      </c>
      <c r="Y143">
        <v>27.4</v>
      </c>
      <c r="Z143" t="s">
        <v>337</v>
      </c>
      <c r="AA143">
        <v>54</v>
      </c>
      <c r="AB143">
        <v>46</v>
      </c>
      <c r="AC143" t="s">
        <v>53</v>
      </c>
      <c r="AD143">
        <v>13085</v>
      </c>
      <c r="AE143">
        <v>6698</v>
      </c>
      <c r="AF143">
        <v>409.72</v>
      </c>
      <c r="AG143">
        <v>9</v>
      </c>
      <c r="AH143">
        <v>31</v>
      </c>
      <c r="AI143">
        <v>59.471888888888877</v>
      </c>
      <c r="AJ143">
        <v>45.16</v>
      </c>
      <c r="AK143">
        <v>47.76</v>
      </c>
      <c r="AL143">
        <v>22.4</v>
      </c>
      <c r="AM143">
        <v>232</v>
      </c>
      <c r="AN143">
        <v>83.56</v>
      </c>
      <c r="AO143">
        <v>85.82</v>
      </c>
      <c r="AP143">
        <v>27.4</v>
      </c>
      <c r="AQ143">
        <v>14</v>
      </c>
      <c r="AR143">
        <v>41.4</v>
      </c>
    </row>
    <row r="144" spans="1:44" x14ac:dyDescent="0.3">
      <c r="A144">
        <v>143</v>
      </c>
      <c r="B144" t="s">
        <v>605</v>
      </c>
      <c r="C144">
        <v>2024</v>
      </c>
      <c r="D144">
        <f>233</f>
        <v>233</v>
      </c>
      <c r="E144">
        <v>12</v>
      </c>
      <c r="F144" t="s">
        <v>606</v>
      </c>
      <c r="G144" t="s">
        <v>107</v>
      </c>
      <c r="H144" t="s">
        <v>108</v>
      </c>
      <c r="I144" t="s">
        <v>607</v>
      </c>
      <c r="J144" t="s">
        <v>50</v>
      </c>
      <c r="K144">
        <v>29.6</v>
      </c>
      <c r="L144">
        <v>25.8</v>
      </c>
      <c r="M144">
        <v>67.400000000000006</v>
      </c>
      <c r="N144">
        <v>7708</v>
      </c>
      <c r="O144">
        <v>254</v>
      </c>
      <c r="P144">
        <v>67.400000000000006</v>
      </c>
      <c r="Q144">
        <v>373</v>
      </c>
      <c r="R144">
        <v>397</v>
      </c>
      <c r="S144">
        <v>0.1372231226364127</v>
      </c>
      <c r="T144" t="s">
        <v>51</v>
      </c>
      <c r="U144">
        <v>40988</v>
      </c>
      <c r="V144">
        <v>18</v>
      </c>
      <c r="W144">
        <v>25</v>
      </c>
      <c r="X144">
        <v>1851</v>
      </c>
      <c r="Y144">
        <v>32.700000000000003</v>
      </c>
      <c r="Z144" t="s">
        <v>202</v>
      </c>
      <c r="AA144">
        <v>58</v>
      </c>
      <c r="AB144">
        <v>42</v>
      </c>
      <c r="AC144" t="s">
        <v>53</v>
      </c>
      <c r="AD144">
        <v>24297</v>
      </c>
      <c r="AE144">
        <v>12894</v>
      </c>
      <c r="AF144">
        <v>373.87</v>
      </c>
      <c r="AG144">
        <v>21</v>
      </c>
      <c r="AH144">
        <v>54</v>
      </c>
      <c r="AI144">
        <v>57.368190476190478</v>
      </c>
      <c r="AJ144">
        <v>42.18</v>
      </c>
      <c r="AK144">
        <v>66.97</v>
      </c>
      <c r="AL144">
        <v>30.67</v>
      </c>
      <c r="AM144">
        <v>233</v>
      </c>
      <c r="AN144">
        <v>83.49</v>
      </c>
      <c r="AO144">
        <v>199.24</v>
      </c>
      <c r="AP144">
        <v>32.700000000000003</v>
      </c>
      <c r="AQ144">
        <v>18</v>
      </c>
      <c r="AR144">
        <v>41.3</v>
      </c>
    </row>
    <row r="145" spans="1:44" x14ac:dyDescent="0.3">
      <c r="A145">
        <v>144</v>
      </c>
      <c r="B145" t="s">
        <v>608</v>
      </c>
      <c r="C145">
        <v>2024</v>
      </c>
      <c r="D145">
        <f>233</f>
        <v>233</v>
      </c>
      <c r="E145">
        <v>3</v>
      </c>
      <c r="F145" t="s">
        <v>606</v>
      </c>
      <c r="G145" t="s">
        <v>239</v>
      </c>
      <c r="H145" t="s">
        <v>100</v>
      </c>
      <c r="I145" t="s">
        <v>609</v>
      </c>
      <c r="J145" t="s">
        <v>50</v>
      </c>
      <c r="K145">
        <v>53.1</v>
      </c>
      <c r="L145">
        <v>67.7</v>
      </c>
      <c r="M145">
        <v>38.299999999999997</v>
      </c>
      <c r="N145">
        <v>5357</v>
      </c>
      <c r="O145">
        <v>460</v>
      </c>
      <c r="P145">
        <v>38.299999999999997</v>
      </c>
      <c r="Q145">
        <v>251</v>
      </c>
      <c r="R145">
        <v>316</v>
      </c>
      <c r="S145">
        <v>0.36363636363636359</v>
      </c>
      <c r="T145" t="s">
        <v>58</v>
      </c>
      <c r="U145">
        <v>13979</v>
      </c>
      <c r="V145">
        <v>12</v>
      </c>
      <c r="W145">
        <v>14</v>
      </c>
      <c r="X145">
        <v>1265</v>
      </c>
      <c r="Y145">
        <v>16.2</v>
      </c>
      <c r="Z145" t="s">
        <v>78</v>
      </c>
      <c r="AA145">
        <v>42</v>
      </c>
      <c r="AB145">
        <v>58</v>
      </c>
      <c r="AC145" t="s">
        <v>53</v>
      </c>
      <c r="AD145">
        <v>10198</v>
      </c>
      <c r="AE145">
        <v>4609</v>
      </c>
      <c r="AF145">
        <v>1161.4000000000001</v>
      </c>
      <c r="AG145">
        <v>22</v>
      </c>
      <c r="AH145">
        <v>154</v>
      </c>
      <c r="AI145">
        <v>33.419431818181813</v>
      </c>
      <c r="AJ145">
        <v>25.98</v>
      </c>
      <c r="AK145">
        <v>28.31</v>
      </c>
      <c r="AL145">
        <v>8.91</v>
      </c>
      <c r="AM145">
        <v>233</v>
      </c>
      <c r="AN145">
        <v>83.49</v>
      </c>
      <c r="AO145">
        <v>149.38</v>
      </c>
      <c r="AP145">
        <v>16.2</v>
      </c>
      <c r="AQ145">
        <v>12</v>
      </c>
      <c r="AR145">
        <v>41.3</v>
      </c>
    </row>
    <row r="146" spans="1:44" x14ac:dyDescent="0.3">
      <c r="A146">
        <v>145</v>
      </c>
      <c r="B146" t="s">
        <v>610</v>
      </c>
      <c r="C146">
        <v>2024</v>
      </c>
      <c r="D146" t="s">
        <v>611</v>
      </c>
      <c r="E146">
        <v>51</v>
      </c>
      <c r="F146" t="s">
        <v>612</v>
      </c>
      <c r="G146" t="s">
        <v>47</v>
      </c>
      <c r="H146" t="s">
        <v>48</v>
      </c>
      <c r="I146" t="s">
        <v>613</v>
      </c>
      <c r="J146" t="s">
        <v>50</v>
      </c>
      <c r="K146">
        <v>16.399999999999999</v>
      </c>
      <c r="L146">
        <v>21.1</v>
      </c>
      <c r="M146">
        <v>79.400000000000006</v>
      </c>
      <c r="N146">
        <v>2876</v>
      </c>
      <c r="O146">
        <v>1001</v>
      </c>
      <c r="P146">
        <v>79.400000000000006</v>
      </c>
      <c r="Q146">
        <v>190</v>
      </c>
      <c r="R146">
        <v>733</v>
      </c>
      <c r="S146">
        <v>1.241935483870968</v>
      </c>
      <c r="T146" t="s">
        <v>77</v>
      </c>
      <c r="U146">
        <v>9735</v>
      </c>
      <c r="V146">
        <v>36</v>
      </c>
      <c r="W146">
        <v>44</v>
      </c>
      <c r="X146">
        <v>806</v>
      </c>
      <c r="Y146">
        <v>18.2</v>
      </c>
      <c r="Z146" t="s">
        <v>332</v>
      </c>
      <c r="AA146">
        <v>39</v>
      </c>
      <c r="AB146">
        <v>61</v>
      </c>
      <c r="AC146" t="s">
        <v>53</v>
      </c>
      <c r="AD146">
        <v>6233</v>
      </c>
      <c r="AE146">
        <v>3472</v>
      </c>
      <c r="AF146">
        <v>614.48</v>
      </c>
      <c r="AG146">
        <v>69</v>
      </c>
      <c r="AH146">
        <v>1</v>
      </c>
      <c r="AI146">
        <v>50.817340579710141</v>
      </c>
      <c r="AJ146">
        <v>35.82</v>
      </c>
      <c r="AK146">
        <v>38.92</v>
      </c>
      <c r="AL146">
        <v>35.29</v>
      </c>
      <c r="AM146">
        <v>235</v>
      </c>
      <c r="AN146">
        <v>83.35</v>
      </c>
      <c r="AO146">
        <v>340.84</v>
      </c>
      <c r="AP146">
        <v>18.2</v>
      </c>
      <c r="AQ146">
        <v>36</v>
      </c>
      <c r="AR146">
        <v>41.2</v>
      </c>
    </row>
    <row r="147" spans="1:44" x14ac:dyDescent="0.3">
      <c r="A147">
        <v>146</v>
      </c>
      <c r="B147" t="s">
        <v>614</v>
      </c>
      <c r="C147">
        <v>2024</v>
      </c>
      <c r="D147">
        <f>237</f>
        <v>237</v>
      </c>
      <c r="E147">
        <v>55</v>
      </c>
      <c r="F147" t="s">
        <v>615</v>
      </c>
      <c r="G147" t="s">
        <v>63</v>
      </c>
      <c r="H147" t="s">
        <v>64</v>
      </c>
      <c r="I147" t="s">
        <v>616</v>
      </c>
      <c r="J147" t="s">
        <v>65</v>
      </c>
      <c r="K147">
        <v>21.1</v>
      </c>
      <c r="L147">
        <v>24.2</v>
      </c>
      <c r="M147">
        <v>78.599999999999994</v>
      </c>
      <c r="N147">
        <v>1271</v>
      </c>
      <c r="O147">
        <v>240</v>
      </c>
      <c r="P147">
        <v>78.599999999999994</v>
      </c>
      <c r="Q147">
        <v>141</v>
      </c>
      <c r="R147">
        <v>372</v>
      </c>
      <c r="S147">
        <v>0.2870813397129186</v>
      </c>
      <c r="T147" t="s">
        <v>96</v>
      </c>
      <c r="U147">
        <v>6226</v>
      </c>
      <c r="V147">
        <v>16</v>
      </c>
      <c r="W147">
        <v>19</v>
      </c>
      <c r="X147">
        <v>836</v>
      </c>
      <c r="Y147">
        <v>7.4</v>
      </c>
      <c r="Z147" t="s">
        <v>59</v>
      </c>
      <c r="AA147">
        <v>48</v>
      </c>
      <c r="AB147">
        <v>52</v>
      </c>
      <c r="AC147" t="s">
        <v>53</v>
      </c>
      <c r="AD147">
        <v>4693</v>
      </c>
      <c r="AE147">
        <v>1934</v>
      </c>
      <c r="AF147">
        <v>647.61</v>
      </c>
      <c r="AG147">
        <v>98</v>
      </c>
      <c r="AH147">
        <v>2</v>
      </c>
      <c r="AI147">
        <v>56.843244897959181</v>
      </c>
      <c r="AJ147">
        <v>29.74</v>
      </c>
      <c r="AK147">
        <v>38.11</v>
      </c>
      <c r="AL147">
        <v>19.260000000000002</v>
      </c>
      <c r="AM147">
        <v>237</v>
      </c>
      <c r="AN147">
        <v>83.2</v>
      </c>
      <c r="AO147">
        <v>195.96</v>
      </c>
      <c r="AP147">
        <v>7.4</v>
      </c>
      <c r="AQ147">
        <v>16</v>
      </c>
      <c r="AR147">
        <v>40.9</v>
      </c>
    </row>
    <row r="148" spans="1:44" x14ac:dyDescent="0.3">
      <c r="A148">
        <v>147</v>
      </c>
      <c r="B148" t="s">
        <v>617</v>
      </c>
      <c r="C148">
        <v>2024</v>
      </c>
      <c r="D148">
        <f>239</f>
        <v>239</v>
      </c>
      <c r="E148">
        <v>4</v>
      </c>
      <c r="F148" t="s">
        <v>618</v>
      </c>
      <c r="G148" t="s">
        <v>539</v>
      </c>
      <c r="H148" t="s">
        <v>108</v>
      </c>
      <c r="I148" t="s">
        <v>619</v>
      </c>
      <c r="J148" t="s">
        <v>50</v>
      </c>
      <c r="K148">
        <v>30.4</v>
      </c>
      <c r="L148">
        <v>16</v>
      </c>
      <c r="M148">
        <v>22.7</v>
      </c>
      <c r="N148">
        <v>1581</v>
      </c>
      <c r="O148">
        <v>405</v>
      </c>
      <c r="P148">
        <v>22.7</v>
      </c>
      <c r="Q148">
        <v>226</v>
      </c>
      <c r="R148">
        <v>573</v>
      </c>
      <c r="S148">
        <v>0.33498759305210918</v>
      </c>
      <c r="T148" t="s">
        <v>51</v>
      </c>
      <c r="U148">
        <v>17883</v>
      </c>
      <c r="V148">
        <v>27</v>
      </c>
      <c r="W148">
        <v>30</v>
      </c>
      <c r="X148">
        <v>1209</v>
      </c>
      <c r="Y148">
        <v>17.399999999999999</v>
      </c>
      <c r="Z148" t="s">
        <v>620</v>
      </c>
      <c r="AA148">
        <v>64</v>
      </c>
      <c r="AB148">
        <v>36</v>
      </c>
      <c r="AC148" t="s">
        <v>53</v>
      </c>
      <c r="AD148">
        <v>10933</v>
      </c>
      <c r="AE148">
        <v>4480</v>
      </c>
      <c r="AF148">
        <v>249.89</v>
      </c>
      <c r="AG148">
        <v>4</v>
      </c>
      <c r="AH148">
        <v>320</v>
      </c>
      <c r="AI148">
        <v>48.220999999999997</v>
      </c>
      <c r="AJ148">
        <v>48.63</v>
      </c>
      <c r="AK148">
        <v>56.06</v>
      </c>
      <c r="AL148">
        <v>27.93</v>
      </c>
      <c r="AM148">
        <v>239</v>
      </c>
      <c r="AN148">
        <v>83.06</v>
      </c>
      <c r="AO148">
        <v>242.82</v>
      </c>
      <c r="AP148">
        <v>17.399999999999999</v>
      </c>
      <c r="AQ148">
        <v>27</v>
      </c>
      <c r="AR148">
        <v>40.6</v>
      </c>
    </row>
    <row r="149" spans="1:44" x14ac:dyDescent="0.3">
      <c r="A149">
        <v>148</v>
      </c>
      <c r="B149" t="s">
        <v>621</v>
      </c>
      <c r="C149">
        <v>2024</v>
      </c>
      <c r="D149" t="s">
        <v>622</v>
      </c>
      <c r="E149">
        <v>5</v>
      </c>
      <c r="F149" t="s">
        <v>623</v>
      </c>
      <c r="G149" t="s">
        <v>539</v>
      </c>
      <c r="H149" t="s">
        <v>108</v>
      </c>
      <c r="I149" t="s">
        <v>624</v>
      </c>
      <c r="J149" t="s">
        <v>50</v>
      </c>
      <c r="K149">
        <v>44.8</v>
      </c>
      <c r="L149">
        <v>25.5</v>
      </c>
      <c r="M149">
        <v>32.299999999999997</v>
      </c>
      <c r="N149">
        <v>10341</v>
      </c>
      <c r="O149">
        <v>541</v>
      </c>
      <c r="P149">
        <v>32.299999999999997</v>
      </c>
      <c r="Q149">
        <v>212</v>
      </c>
      <c r="R149">
        <v>702</v>
      </c>
      <c r="S149">
        <v>0.48131672597864761</v>
      </c>
      <c r="T149" t="s">
        <v>51</v>
      </c>
      <c r="U149">
        <v>18231</v>
      </c>
      <c r="V149">
        <v>17</v>
      </c>
      <c r="W149">
        <v>12</v>
      </c>
      <c r="X149">
        <v>1124</v>
      </c>
      <c r="Y149">
        <v>19.399999999999999</v>
      </c>
      <c r="Z149" t="s">
        <v>110</v>
      </c>
      <c r="AA149">
        <v>59</v>
      </c>
      <c r="AB149">
        <v>41</v>
      </c>
      <c r="AC149" t="s">
        <v>53</v>
      </c>
      <c r="AD149">
        <v>10217</v>
      </c>
      <c r="AE149">
        <v>5511</v>
      </c>
      <c r="AF149">
        <v>249.89</v>
      </c>
      <c r="AG149">
        <v>4</v>
      </c>
      <c r="AH149">
        <v>320</v>
      </c>
      <c r="AI149">
        <v>48.220999999999997</v>
      </c>
      <c r="AJ149">
        <v>48.63</v>
      </c>
      <c r="AK149">
        <v>56.06</v>
      </c>
      <c r="AL149">
        <v>27.93</v>
      </c>
      <c r="AM149">
        <v>241</v>
      </c>
      <c r="AN149">
        <v>82.92</v>
      </c>
      <c r="AO149">
        <v>300.18</v>
      </c>
      <c r="AP149">
        <v>19.399999999999999</v>
      </c>
      <c r="AQ149">
        <v>17</v>
      </c>
      <c r="AR149">
        <v>40.5</v>
      </c>
    </row>
    <row r="150" spans="1:44" x14ac:dyDescent="0.3">
      <c r="A150">
        <v>149</v>
      </c>
      <c r="B150" t="s">
        <v>625</v>
      </c>
      <c r="C150">
        <v>2024</v>
      </c>
      <c r="D150" t="s">
        <v>626</v>
      </c>
      <c r="E150">
        <v>19</v>
      </c>
      <c r="F150" t="s">
        <v>627</v>
      </c>
      <c r="G150" t="s">
        <v>107</v>
      </c>
      <c r="H150" t="s">
        <v>108</v>
      </c>
      <c r="I150" t="s">
        <v>166</v>
      </c>
      <c r="J150" t="s">
        <v>50</v>
      </c>
      <c r="K150">
        <v>22.6</v>
      </c>
      <c r="L150">
        <v>20.2</v>
      </c>
      <c r="M150">
        <v>77.5</v>
      </c>
      <c r="N150">
        <v>5795</v>
      </c>
      <c r="O150">
        <v>898</v>
      </c>
      <c r="P150">
        <v>77.5</v>
      </c>
      <c r="Q150">
        <v>307</v>
      </c>
      <c r="R150">
        <v>529</v>
      </c>
      <c r="S150">
        <v>717.25239616613419</v>
      </c>
      <c r="T150" t="s">
        <v>71</v>
      </c>
      <c r="U150">
        <v>19172</v>
      </c>
      <c r="V150">
        <v>29</v>
      </c>
      <c r="W150">
        <v>37</v>
      </c>
      <c r="X150">
        <v>1.252</v>
      </c>
      <c r="Y150">
        <v>28.2</v>
      </c>
      <c r="Z150" t="s">
        <v>521</v>
      </c>
      <c r="AA150">
        <v>42.706114569999997</v>
      </c>
      <c r="AB150">
        <v>57.293885430000003</v>
      </c>
      <c r="AC150" t="s">
        <v>53</v>
      </c>
      <c r="AD150">
        <v>18512</v>
      </c>
      <c r="AE150">
        <v>2997</v>
      </c>
      <c r="AF150">
        <v>373.87</v>
      </c>
      <c r="AG150">
        <v>21</v>
      </c>
      <c r="AH150">
        <v>54</v>
      </c>
      <c r="AI150">
        <v>57.368190476190478</v>
      </c>
      <c r="AJ150">
        <v>42.18</v>
      </c>
      <c r="AK150">
        <v>66.97</v>
      </c>
      <c r="AL150">
        <v>30.67</v>
      </c>
      <c r="AM150">
        <v>242</v>
      </c>
      <c r="AN150">
        <v>82.84</v>
      </c>
      <c r="AO150">
        <v>258.10000000000002</v>
      </c>
      <c r="AP150">
        <v>28.2</v>
      </c>
      <c r="AQ150">
        <v>29</v>
      </c>
      <c r="AR150">
        <v>40.299999999999997</v>
      </c>
    </row>
    <row r="151" spans="1:44" x14ac:dyDescent="0.3">
      <c r="A151">
        <v>150</v>
      </c>
      <c r="B151" t="s">
        <v>628</v>
      </c>
      <c r="C151">
        <v>2024</v>
      </c>
      <c r="D151" t="s">
        <v>629</v>
      </c>
      <c r="E151">
        <v>11</v>
      </c>
      <c r="F151" t="s">
        <v>630</v>
      </c>
      <c r="G151" t="s">
        <v>107</v>
      </c>
      <c r="H151" t="s">
        <v>108</v>
      </c>
      <c r="I151" t="s">
        <v>631</v>
      </c>
      <c r="J151" t="s">
        <v>50</v>
      </c>
      <c r="K151">
        <v>26.5</v>
      </c>
      <c r="L151">
        <v>16.2</v>
      </c>
      <c r="M151">
        <v>65.8</v>
      </c>
      <c r="N151">
        <v>12043</v>
      </c>
      <c r="O151">
        <v>240</v>
      </c>
      <c r="P151">
        <v>65.8</v>
      </c>
      <c r="Q151">
        <v>613</v>
      </c>
      <c r="R151">
        <v>361</v>
      </c>
      <c r="S151">
        <v>0.12513034410844631</v>
      </c>
      <c r="T151" t="s">
        <v>96</v>
      </c>
      <c r="U151">
        <v>34770</v>
      </c>
      <c r="V151">
        <v>15</v>
      </c>
      <c r="W151">
        <v>25</v>
      </c>
      <c r="X151">
        <v>1918</v>
      </c>
      <c r="Y151">
        <v>31.6</v>
      </c>
      <c r="Z151" t="s">
        <v>202</v>
      </c>
      <c r="AA151">
        <v>60</v>
      </c>
      <c r="AB151">
        <v>40</v>
      </c>
      <c r="AC151" t="s">
        <v>53</v>
      </c>
      <c r="AD151">
        <v>20476</v>
      </c>
      <c r="AE151">
        <v>10008</v>
      </c>
      <c r="AF151">
        <v>373.87</v>
      </c>
      <c r="AG151">
        <v>21</v>
      </c>
      <c r="AH151">
        <v>54</v>
      </c>
      <c r="AI151">
        <v>57.368190476190478</v>
      </c>
      <c r="AJ151">
        <v>42.18</v>
      </c>
      <c r="AK151">
        <v>66.97</v>
      </c>
      <c r="AL151">
        <v>30.67</v>
      </c>
      <c r="AM151">
        <v>243</v>
      </c>
      <c r="AN151">
        <v>82.77</v>
      </c>
      <c r="AO151">
        <v>183.88</v>
      </c>
      <c r="AP151">
        <v>31.6</v>
      </c>
      <c r="AQ151">
        <v>15</v>
      </c>
      <c r="AR151">
        <v>40.1</v>
      </c>
    </row>
    <row r="152" spans="1:44" x14ac:dyDescent="0.3">
      <c r="A152">
        <v>151</v>
      </c>
      <c r="B152" t="s">
        <v>632</v>
      </c>
      <c r="C152">
        <v>2024</v>
      </c>
      <c r="D152" t="s">
        <v>633</v>
      </c>
      <c r="E152">
        <v>37</v>
      </c>
      <c r="F152" t="s">
        <v>634</v>
      </c>
      <c r="G152" t="s">
        <v>47</v>
      </c>
      <c r="H152" t="s">
        <v>48</v>
      </c>
      <c r="I152" t="s">
        <v>635</v>
      </c>
      <c r="J152" t="s">
        <v>50</v>
      </c>
      <c r="K152">
        <v>20.399999999999999</v>
      </c>
      <c r="L152">
        <v>23.4</v>
      </c>
      <c r="M152">
        <v>56.2</v>
      </c>
      <c r="N152">
        <v>4182</v>
      </c>
      <c r="O152">
        <v>460</v>
      </c>
      <c r="P152">
        <v>56.2</v>
      </c>
      <c r="Q152">
        <v>222</v>
      </c>
      <c r="R152">
        <v>525</v>
      </c>
      <c r="S152">
        <v>0.37674037674037669</v>
      </c>
      <c r="T152" t="s">
        <v>51</v>
      </c>
      <c r="U152">
        <v>14630</v>
      </c>
      <c r="V152">
        <v>33</v>
      </c>
      <c r="W152">
        <v>33</v>
      </c>
      <c r="X152">
        <v>1221</v>
      </c>
      <c r="Y152">
        <v>16.3</v>
      </c>
      <c r="Z152" t="s">
        <v>87</v>
      </c>
      <c r="AA152">
        <v>54</v>
      </c>
      <c r="AB152">
        <v>46</v>
      </c>
      <c r="AC152" t="s">
        <v>53</v>
      </c>
      <c r="AD152">
        <v>12249</v>
      </c>
      <c r="AE152">
        <v>2191</v>
      </c>
      <c r="AF152">
        <v>614.48</v>
      </c>
      <c r="AG152">
        <v>69</v>
      </c>
      <c r="AH152">
        <v>1</v>
      </c>
      <c r="AI152">
        <v>50.817340579710141</v>
      </c>
      <c r="AJ152">
        <v>35.82</v>
      </c>
      <c r="AK152">
        <v>38.92</v>
      </c>
      <c r="AL152">
        <v>35.29</v>
      </c>
      <c r="AM152">
        <v>244</v>
      </c>
      <c r="AN152">
        <v>82.7</v>
      </c>
      <c r="AO152">
        <v>243.72</v>
      </c>
      <c r="AP152">
        <v>16.3</v>
      </c>
      <c r="AQ152">
        <v>33</v>
      </c>
      <c r="AR152">
        <v>39.9</v>
      </c>
    </row>
    <row r="153" spans="1:44" x14ac:dyDescent="0.3">
      <c r="A153">
        <v>152</v>
      </c>
      <c r="B153" t="s">
        <v>636</v>
      </c>
      <c r="C153">
        <v>2024</v>
      </c>
      <c r="D153">
        <f>246</f>
        <v>246</v>
      </c>
      <c r="E153">
        <v>39</v>
      </c>
      <c r="F153" t="s">
        <v>637</v>
      </c>
      <c r="G153" t="s">
        <v>150</v>
      </c>
      <c r="H153" t="s">
        <v>48</v>
      </c>
      <c r="I153" t="s">
        <v>638</v>
      </c>
      <c r="J153" t="s">
        <v>50</v>
      </c>
      <c r="K153">
        <v>21</v>
      </c>
      <c r="L153">
        <v>37.5</v>
      </c>
      <c r="M153">
        <v>79</v>
      </c>
      <c r="N153">
        <v>6521</v>
      </c>
      <c r="O153">
        <v>70127</v>
      </c>
      <c r="P153">
        <v>79</v>
      </c>
      <c r="Q153">
        <v>250</v>
      </c>
      <c r="R153">
        <v>60.4</v>
      </c>
      <c r="S153">
        <v>4.92</v>
      </c>
      <c r="T153" t="s">
        <v>71</v>
      </c>
      <c r="U153">
        <v>15882</v>
      </c>
      <c r="V153">
        <v>19</v>
      </c>
      <c r="W153">
        <v>27</v>
      </c>
      <c r="X153">
        <v>804</v>
      </c>
      <c r="Y153">
        <v>37</v>
      </c>
      <c r="Z153" t="s">
        <v>639</v>
      </c>
      <c r="AA153">
        <v>34</v>
      </c>
      <c r="AB153">
        <v>66</v>
      </c>
      <c r="AC153" t="s">
        <v>53</v>
      </c>
      <c r="AD153">
        <v>9168</v>
      </c>
      <c r="AE153">
        <v>4696</v>
      </c>
      <c r="AF153">
        <v>409.72</v>
      </c>
      <c r="AG153">
        <v>9</v>
      </c>
      <c r="AH153">
        <v>31</v>
      </c>
      <c r="AI153">
        <v>59.471888888888877</v>
      </c>
      <c r="AJ153">
        <v>45.16</v>
      </c>
      <c r="AK153">
        <v>47.76</v>
      </c>
      <c r="AL153">
        <v>22.4</v>
      </c>
      <c r="AM153">
        <v>246</v>
      </c>
      <c r="AN153">
        <v>82.56</v>
      </c>
      <c r="AO153">
        <v>71.56</v>
      </c>
      <c r="AP153">
        <v>37</v>
      </c>
      <c r="AQ153">
        <v>19</v>
      </c>
      <c r="AR153">
        <v>39.700000000000003</v>
      </c>
    </row>
    <row r="154" spans="1:44" x14ac:dyDescent="0.3">
      <c r="A154">
        <v>153</v>
      </c>
      <c r="B154" t="s">
        <v>640</v>
      </c>
      <c r="C154">
        <v>2024</v>
      </c>
      <c r="D154">
        <f>248</f>
        <v>248</v>
      </c>
      <c r="E154">
        <v>1</v>
      </c>
      <c r="F154" t="s">
        <v>641</v>
      </c>
      <c r="G154" t="s">
        <v>642</v>
      </c>
      <c r="H154" t="s">
        <v>48</v>
      </c>
      <c r="I154" t="s">
        <v>643</v>
      </c>
      <c r="J154" t="s">
        <v>50</v>
      </c>
      <c r="K154">
        <v>45.5</v>
      </c>
      <c r="L154">
        <v>43.5</v>
      </c>
      <c r="M154">
        <v>9.4</v>
      </c>
      <c r="N154">
        <v>13815</v>
      </c>
      <c r="O154">
        <v>27365</v>
      </c>
      <c r="P154">
        <v>9.4</v>
      </c>
      <c r="Q154">
        <v>171</v>
      </c>
      <c r="R154">
        <v>36.4</v>
      </c>
      <c r="S154">
        <v>4.62</v>
      </c>
      <c r="T154" t="s">
        <v>71</v>
      </c>
      <c r="U154">
        <v>51728</v>
      </c>
      <c r="V154">
        <v>23</v>
      </c>
      <c r="W154">
        <v>24</v>
      </c>
      <c r="X154">
        <v>5019</v>
      </c>
      <c r="Y154">
        <v>13.4</v>
      </c>
      <c r="Z154" t="s">
        <v>326</v>
      </c>
      <c r="AA154">
        <v>62</v>
      </c>
      <c r="AB154">
        <v>38</v>
      </c>
      <c r="AC154" t="s">
        <v>53</v>
      </c>
      <c r="AD154">
        <v>33534</v>
      </c>
      <c r="AE154">
        <v>20370</v>
      </c>
      <c r="AF154">
        <v>1055.02</v>
      </c>
      <c r="AG154">
        <v>11</v>
      </c>
      <c r="AH154">
        <v>459</v>
      </c>
      <c r="AI154">
        <v>29.911909090909091</v>
      </c>
      <c r="AJ154">
        <v>21.19</v>
      </c>
      <c r="AK154">
        <v>18.600000000000001</v>
      </c>
      <c r="AL154">
        <v>18.350000000000001</v>
      </c>
      <c r="AM154">
        <v>248</v>
      </c>
      <c r="AN154">
        <v>82.42</v>
      </c>
      <c r="AO154">
        <v>20.2</v>
      </c>
      <c r="AP154">
        <v>13.4</v>
      </c>
      <c r="AQ154">
        <v>23</v>
      </c>
      <c r="AR154">
        <v>39.6</v>
      </c>
    </row>
    <row r="155" spans="1:44" x14ac:dyDescent="0.3">
      <c r="A155">
        <v>154</v>
      </c>
      <c r="B155" t="s">
        <v>644</v>
      </c>
      <c r="C155">
        <v>2024</v>
      </c>
      <c r="D155">
        <f>248</f>
        <v>248</v>
      </c>
      <c r="E155">
        <v>6</v>
      </c>
      <c r="F155" t="s">
        <v>641</v>
      </c>
      <c r="G155" t="s">
        <v>226</v>
      </c>
      <c r="H155" t="s">
        <v>48</v>
      </c>
      <c r="I155" t="s">
        <v>645</v>
      </c>
      <c r="J155" t="s">
        <v>50</v>
      </c>
      <c r="K155">
        <v>23.7</v>
      </c>
      <c r="L155">
        <v>11.8</v>
      </c>
      <c r="M155">
        <v>49.2</v>
      </c>
      <c r="N155">
        <v>3823</v>
      </c>
      <c r="O155">
        <v>200</v>
      </c>
      <c r="P155">
        <v>49.2</v>
      </c>
      <c r="Q155">
        <v>232</v>
      </c>
      <c r="R155">
        <v>287</v>
      </c>
      <c r="S155">
        <v>0.1173708920187793</v>
      </c>
      <c r="T155" t="s">
        <v>51</v>
      </c>
      <c r="U155">
        <v>16168</v>
      </c>
      <c r="V155">
        <v>17</v>
      </c>
      <c r="W155">
        <v>17</v>
      </c>
      <c r="X155">
        <v>1704</v>
      </c>
      <c r="Y155">
        <v>31.8</v>
      </c>
      <c r="Z155" t="s">
        <v>116</v>
      </c>
      <c r="AA155">
        <v>57</v>
      </c>
      <c r="AB155">
        <v>43</v>
      </c>
      <c r="AC155" t="s">
        <v>53</v>
      </c>
      <c r="AD155">
        <v>10558</v>
      </c>
      <c r="AE155">
        <v>6278</v>
      </c>
      <c r="AF155">
        <v>374.09</v>
      </c>
      <c r="AG155">
        <v>3</v>
      </c>
      <c r="AH155">
        <v>45</v>
      </c>
      <c r="AI155">
        <v>68.016833333333338</v>
      </c>
      <c r="AJ155">
        <v>40.93</v>
      </c>
      <c r="AK155">
        <v>51.76</v>
      </c>
      <c r="AL155">
        <v>20.190000000000001</v>
      </c>
      <c r="AM155">
        <v>248</v>
      </c>
      <c r="AN155">
        <v>82.42</v>
      </c>
      <c r="AO155">
        <v>144.32</v>
      </c>
      <c r="AP155">
        <v>31.8</v>
      </c>
      <c r="AQ155">
        <v>17</v>
      </c>
      <c r="AR155">
        <v>39.6</v>
      </c>
    </row>
    <row r="156" spans="1:44" x14ac:dyDescent="0.3">
      <c r="A156">
        <v>155</v>
      </c>
      <c r="B156" t="s">
        <v>646</v>
      </c>
      <c r="C156">
        <v>2024</v>
      </c>
      <c r="D156" t="s">
        <v>647</v>
      </c>
      <c r="E156">
        <v>7</v>
      </c>
      <c r="F156" t="s">
        <v>648</v>
      </c>
      <c r="G156" t="s">
        <v>539</v>
      </c>
      <c r="H156" t="s">
        <v>108</v>
      </c>
      <c r="I156" t="s">
        <v>649</v>
      </c>
      <c r="J156" t="s">
        <v>50</v>
      </c>
      <c r="K156">
        <v>18.399999999999999</v>
      </c>
      <c r="L156">
        <v>13.2</v>
      </c>
      <c r="M156">
        <v>75</v>
      </c>
      <c r="N156">
        <v>2034</v>
      </c>
      <c r="O156">
        <v>47077</v>
      </c>
      <c r="P156">
        <v>75</v>
      </c>
      <c r="Q156">
        <v>241</v>
      </c>
      <c r="R156">
        <v>55.2</v>
      </c>
      <c r="S156">
        <v>2.99</v>
      </c>
      <c r="T156" t="s">
        <v>58</v>
      </c>
      <c r="U156">
        <v>10538</v>
      </c>
      <c r="V156">
        <v>26</v>
      </c>
      <c r="W156">
        <v>31</v>
      </c>
      <c r="X156">
        <v>595</v>
      </c>
      <c r="Y156">
        <v>20.7</v>
      </c>
      <c r="Z156" t="s">
        <v>138</v>
      </c>
      <c r="AA156">
        <v>61</v>
      </c>
      <c r="AB156">
        <v>39</v>
      </c>
      <c r="AC156" t="s">
        <v>53</v>
      </c>
      <c r="AD156">
        <v>5943</v>
      </c>
      <c r="AE156">
        <v>4578</v>
      </c>
      <c r="AF156">
        <v>249.89</v>
      </c>
      <c r="AG156">
        <v>4</v>
      </c>
      <c r="AH156">
        <v>320</v>
      </c>
      <c r="AI156">
        <v>48.220999999999997</v>
      </c>
      <c r="AJ156">
        <v>48.63</v>
      </c>
      <c r="AK156">
        <v>56.06</v>
      </c>
      <c r="AL156">
        <v>27.93</v>
      </c>
      <c r="AM156">
        <v>250</v>
      </c>
      <c r="AN156">
        <v>82.27</v>
      </c>
      <c r="AO156">
        <v>67.08</v>
      </c>
      <c r="AP156">
        <v>20.7</v>
      </c>
      <c r="AQ156">
        <v>26</v>
      </c>
      <c r="AR156">
        <v>39.5</v>
      </c>
    </row>
    <row r="157" spans="1:44" x14ac:dyDescent="0.3">
      <c r="A157">
        <v>156</v>
      </c>
      <c r="B157" t="s">
        <v>650</v>
      </c>
      <c r="C157">
        <v>2024</v>
      </c>
      <c r="D157" t="s">
        <v>651</v>
      </c>
      <c r="E157">
        <v>2</v>
      </c>
      <c r="F157" t="s">
        <v>652</v>
      </c>
      <c r="G157" t="s">
        <v>653</v>
      </c>
      <c r="H157" t="s">
        <v>48</v>
      </c>
      <c r="I157" t="s">
        <v>654</v>
      </c>
      <c r="J157" t="s">
        <v>50</v>
      </c>
      <c r="K157">
        <v>39.799999999999997</v>
      </c>
      <c r="L157">
        <v>22.9</v>
      </c>
      <c r="M157">
        <v>58.1</v>
      </c>
      <c r="N157">
        <v>6981</v>
      </c>
      <c r="O157">
        <v>304</v>
      </c>
      <c r="P157">
        <v>58.1</v>
      </c>
      <c r="Q157">
        <v>525</v>
      </c>
      <c r="R157">
        <v>179</v>
      </c>
      <c r="S157">
        <v>0.1499013806706114</v>
      </c>
      <c r="T157" t="s">
        <v>51</v>
      </c>
      <c r="U157">
        <v>36386</v>
      </c>
      <c r="V157">
        <v>17</v>
      </c>
      <c r="W157">
        <v>19</v>
      </c>
      <c r="X157">
        <v>2028</v>
      </c>
      <c r="Y157">
        <v>16.899999999999999</v>
      </c>
      <c r="Z157" t="s">
        <v>87</v>
      </c>
      <c r="AA157">
        <v>55</v>
      </c>
      <c r="AB157">
        <v>45</v>
      </c>
      <c r="AC157" t="s">
        <v>53</v>
      </c>
      <c r="AD157">
        <v>26633</v>
      </c>
      <c r="AE157">
        <v>11494</v>
      </c>
      <c r="AF157">
        <v>912.98</v>
      </c>
      <c r="AG157">
        <v>4</v>
      </c>
      <c r="AH157">
        <v>436</v>
      </c>
      <c r="AI157">
        <v>43.513750000000002</v>
      </c>
      <c r="AJ157">
        <v>30.85</v>
      </c>
      <c r="AK157">
        <v>40.03</v>
      </c>
      <c r="AL157">
        <v>19.28</v>
      </c>
      <c r="AM157">
        <v>253</v>
      </c>
      <c r="AN157">
        <v>82.06</v>
      </c>
      <c r="AO157">
        <v>106.46</v>
      </c>
      <c r="AP157">
        <v>16.899999999999999</v>
      </c>
      <c r="AQ157">
        <v>17</v>
      </c>
      <c r="AR157">
        <v>39</v>
      </c>
    </row>
    <row r="158" spans="1:44" x14ac:dyDescent="0.3">
      <c r="A158">
        <v>157</v>
      </c>
      <c r="B158" t="s">
        <v>655</v>
      </c>
      <c r="C158">
        <v>2024</v>
      </c>
      <c r="D158" t="s">
        <v>656</v>
      </c>
      <c r="E158">
        <v>1</v>
      </c>
      <c r="F158" t="s">
        <v>657</v>
      </c>
      <c r="G158" t="s">
        <v>658</v>
      </c>
      <c r="H158" t="s">
        <v>100</v>
      </c>
      <c r="I158" t="s">
        <v>659</v>
      </c>
      <c r="J158" t="s">
        <v>50</v>
      </c>
      <c r="K158">
        <v>10.6</v>
      </c>
      <c r="L158">
        <v>14.2</v>
      </c>
      <c r="M158">
        <v>96.9</v>
      </c>
      <c r="N158">
        <v>2485</v>
      </c>
      <c r="O158">
        <v>1001</v>
      </c>
      <c r="P158">
        <v>96.9</v>
      </c>
      <c r="Q158">
        <v>284</v>
      </c>
      <c r="R158">
        <v>883</v>
      </c>
      <c r="S158">
        <v>1.54</v>
      </c>
      <c r="T158" t="s">
        <v>96</v>
      </c>
      <c r="U158">
        <v>10908</v>
      </c>
      <c r="V158">
        <v>41</v>
      </c>
      <c r="W158">
        <v>51</v>
      </c>
      <c r="X158">
        <v>650</v>
      </c>
      <c r="Y158">
        <v>18.600000000000001</v>
      </c>
      <c r="Z158" t="s">
        <v>87</v>
      </c>
      <c r="AA158">
        <v>53</v>
      </c>
      <c r="AB158">
        <v>47</v>
      </c>
      <c r="AC158" t="s">
        <v>53</v>
      </c>
      <c r="AD158">
        <v>7144</v>
      </c>
      <c r="AE158">
        <v>5114</v>
      </c>
      <c r="AF158">
        <v>550.16999999999996</v>
      </c>
      <c r="AG158">
        <v>2</v>
      </c>
      <c r="AH158">
        <v>196</v>
      </c>
      <c r="AI158">
        <v>56.012749999999997</v>
      </c>
      <c r="AJ158">
        <v>10.5</v>
      </c>
      <c r="AK158">
        <v>60.8</v>
      </c>
      <c r="AL158">
        <v>56.71</v>
      </c>
      <c r="AM158">
        <v>254</v>
      </c>
      <c r="AN158">
        <v>81.99</v>
      </c>
      <c r="AO158">
        <v>411.34</v>
      </c>
      <c r="AP158">
        <v>18.600000000000001</v>
      </c>
      <c r="AQ158">
        <v>41</v>
      </c>
      <c r="AR158">
        <v>38.9</v>
      </c>
    </row>
    <row r="159" spans="1:44" x14ac:dyDescent="0.3">
      <c r="A159">
        <v>158</v>
      </c>
      <c r="B159" t="s">
        <v>660</v>
      </c>
      <c r="C159">
        <v>2024</v>
      </c>
      <c r="D159" t="s">
        <v>661</v>
      </c>
      <c r="E159">
        <v>61</v>
      </c>
      <c r="F159" t="s">
        <v>662</v>
      </c>
      <c r="G159" t="s">
        <v>63</v>
      </c>
      <c r="H159" t="s">
        <v>64</v>
      </c>
      <c r="I159" t="s">
        <v>663</v>
      </c>
      <c r="J159" t="s">
        <v>65</v>
      </c>
      <c r="K159">
        <v>18.399999999999999</v>
      </c>
      <c r="L159">
        <v>17.100000000000001</v>
      </c>
      <c r="M159">
        <v>63.9</v>
      </c>
      <c r="N159">
        <v>1904</v>
      </c>
      <c r="O159">
        <v>76</v>
      </c>
      <c r="P159">
        <v>63.9</v>
      </c>
      <c r="Q159">
        <v>163</v>
      </c>
      <c r="R159">
        <v>183</v>
      </c>
      <c r="S159">
        <v>4.6369737644905401E-2</v>
      </c>
      <c r="T159" t="s">
        <v>71</v>
      </c>
      <c r="U159">
        <v>10294</v>
      </c>
      <c r="V159">
        <v>25</v>
      </c>
      <c r="W159">
        <v>26</v>
      </c>
      <c r="X159">
        <v>1639</v>
      </c>
      <c r="Y159">
        <v>8.8000000000000007</v>
      </c>
      <c r="Z159" t="s">
        <v>66</v>
      </c>
      <c r="AA159">
        <v>51</v>
      </c>
      <c r="AB159">
        <v>49</v>
      </c>
      <c r="AC159" t="s">
        <v>53</v>
      </c>
      <c r="AD159">
        <v>7991</v>
      </c>
      <c r="AE159">
        <v>3523</v>
      </c>
      <c r="AF159">
        <v>647.61</v>
      </c>
      <c r="AG159">
        <v>98</v>
      </c>
      <c r="AH159">
        <v>2</v>
      </c>
      <c r="AI159">
        <v>56.843244897959181</v>
      </c>
      <c r="AJ159">
        <v>29.74</v>
      </c>
      <c r="AK159">
        <v>38.11</v>
      </c>
      <c r="AL159">
        <v>19.260000000000002</v>
      </c>
      <c r="AM159">
        <v>255</v>
      </c>
      <c r="AN159">
        <v>81.92</v>
      </c>
      <c r="AO159">
        <v>111.54</v>
      </c>
      <c r="AP159">
        <v>8.8000000000000007</v>
      </c>
      <c r="AQ159">
        <v>25</v>
      </c>
      <c r="AR159">
        <v>38.799999999999997</v>
      </c>
    </row>
    <row r="160" spans="1:44" x14ac:dyDescent="0.3">
      <c r="A160">
        <v>159</v>
      </c>
      <c r="B160" t="s">
        <v>664</v>
      </c>
      <c r="C160">
        <v>2024</v>
      </c>
      <c r="D160">
        <f>256</f>
        <v>256</v>
      </c>
      <c r="E160">
        <v>14</v>
      </c>
      <c r="F160" t="s">
        <v>665</v>
      </c>
      <c r="G160" t="s">
        <v>99</v>
      </c>
      <c r="H160" t="s">
        <v>100</v>
      </c>
      <c r="I160" t="s">
        <v>666</v>
      </c>
      <c r="J160" t="s">
        <v>50</v>
      </c>
      <c r="K160">
        <v>28.6</v>
      </c>
      <c r="L160">
        <v>14.9</v>
      </c>
      <c r="M160">
        <v>98.8</v>
      </c>
      <c r="N160">
        <v>9078</v>
      </c>
      <c r="O160">
        <v>405</v>
      </c>
      <c r="P160">
        <v>98.8</v>
      </c>
      <c r="Q160">
        <v>412</v>
      </c>
      <c r="R160">
        <v>104</v>
      </c>
      <c r="S160">
        <v>0.12597200622083979</v>
      </c>
      <c r="T160" t="s">
        <v>58</v>
      </c>
      <c r="U160">
        <v>30933</v>
      </c>
      <c r="V160">
        <v>6</v>
      </c>
      <c r="W160">
        <v>4</v>
      </c>
      <c r="X160">
        <v>3215</v>
      </c>
      <c r="Y160">
        <v>10.6</v>
      </c>
      <c r="Z160" t="s">
        <v>59</v>
      </c>
      <c r="AA160">
        <v>48.549515030000002</v>
      </c>
      <c r="AB160">
        <v>51.450484969999998</v>
      </c>
      <c r="AC160" t="s">
        <v>53</v>
      </c>
      <c r="AD160">
        <v>21682</v>
      </c>
      <c r="AE160">
        <v>10693</v>
      </c>
      <c r="AF160">
        <v>616.32000000000005</v>
      </c>
      <c r="AG160">
        <v>35</v>
      </c>
      <c r="AH160">
        <v>12</v>
      </c>
      <c r="AI160">
        <v>56.538228571428569</v>
      </c>
      <c r="AJ160">
        <v>21.88</v>
      </c>
      <c r="AK160">
        <v>70.61</v>
      </c>
      <c r="AL160">
        <v>14.17</v>
      </c>
      <c r="AM160">
        <v>256</v>
      </c>
      <c r="AN160">
        <v>81.84</v>
      </c>
      <c r="AO160">
        <v>100.88</v>
      </c>
      <c r="AP160">
        <v>10.6</v>
      </c>
      <c r="AQ160">
        <v>6</v>
      </c>
      <c r="AR160">
        <v>38.700000000000003</v>
      </c>
    </row>
    <row r="161" spans="1:44" x14ac:dyDescent="0.3">
      <c r="A161">
        <v>160</v>
      </c>
      <c r="B161" t="s">
        <v>667</v>
      </c>
      <c r="C161">
        <v>2024</v>
      </c>
      <c r="D161" t="s">
        <v>668</v>
      </c>
      <c r="E161">
        <v>40</v>
      </c>
      <c r="F161" t="s">
        <v>669</v>
      </c>
      <c r="G161" t="s">
        <v>63</v>
      </c>
      <c r="H161" t="s">
        <v>64</v>
      </c>
      <c r="I161" t="s">
        <v>670</v>
      </c>
      <c r="J161" t="s">
        <v>65</v>
      </c>
      <c r="K161">
        <v>25.2</v>
      </c>
      <c r="L161">
        <v>19.8</v>
      </c>
      <c r="M161">
        <v>37.200000000000003</v>
      </c>
      <c r="N161">
        <v>4634</v>
      </c>
      <c r="O161">
        <v>45</v>
      </c>
      <c r="P161">
        <v>37.200000000000003</v>
      </c>
      <c r="Q161">
        <v>205</v>
      </c>
      <c r="R161">
        <v>95</v>
      </c>
      <c r="S161">
        <v>1.00603621730382E-2</v>
      </c>
      <c r="T161" t="s">
        <v>71</v>
      </c>
      <c r="U161">
        <v>12971</v>
      </c>
      <c r="V161">
        <v>17</v>
      </c>
      <c r="W161">
        <v>18</v>
      </c>
      <c r="X161">
        <v>4473</v>
      </c>
      <c r="Y161">
        <v>3.9</v>
      </c>
      <c r="Z161" t="s">
        <v>146</v>
      </c>
      <c r="AA161">
        <v>55</v>
      </c>
      <c r="AB161">
        <v>45</v>
      </c>
      <c r="AC161" t="s">
        <v>53</v>
      </c>
      <c r="AD161">
        <v>7181</v>
      </c>
      <c r="AE161">
        <v>5682</v>
      </c>
      <c r="AF161">
        <v>647.61</v>
      </c>
      <c r="AG161">
        <v>98</v>
      </c>
      <c r="AH161">
        <v>2</v>
      </c>
      <c r="AI161">
        <v>56.843244897959181</v>
      </c>
      <c r="AJ161">
        <v>29.74</v>
      </c>
      <c r="AK161">
        <v>38.11</v>
      </c>
      <c r="AL161">
        <v>19.260000000000002</v>
      </c>
      <c r="AM161">
        <v>261</v>
      </c>
      <c r="AN161">
        <v>81.489999999999995</v>
      </c>
      <c r="AO161">
        <v>60.32</v>
      </c>
      <c r="AP161">
        <v>3.9</v>
      </c>
      <c r="AQ161">
        <v>17</v>
      </c>
      <c r="AR161">
        <v>38.4</v>
      </c>
    </row>
    <row r="162" spans="1:44" x14ac:dyDescent="0.3">
      <c r="A162">
        <v>161</v>
      </c>
      <c r="B162" t="s">
        <v>671</v>
      </c>
      <c r="C162">
        <v>2024</v>
      </c>
      <c r="D162">
        <f>264</f>
        <v>264</v>
      </c>
      <c r="E162">
        <v>32</v>
      </c>
      <c r="F162" t="s">
        <v>672</v>
      </c>
      <c r="G162" t="s">
        <v>63</v>
      </c>
      <c r="H162" t="s">
        <v>64</v>
      </c>
      <c r="I162" t="s">
        <v>673</v>
      </c>
      <c r="J162" t="s">
        <v>50</v>
      </c>
      <c r="K162">
        <v>36.9</v>
      </c>
      <c r="L162">
        <v>13.5</v>
      </c>
      <c r="M162">
        <v>49.4</v>
      </c>
      <c r="N162">
        <v>13089</v>
      </c>
      <c r="O162">
        <v>59</v>
      </c>
      <c r="P162">
        <v>49.4</v>
      </c>
      <c r="Q162">
        <v>244</v>
      </c>
      <c r="R162">
        <v>145</v>
      </c>
      <c r="S162">
        <v>2.0027155465037302E-2</v>
      </c>
      <c r="T162" t="s">
        <v>77</v>
      </c>
      <c r="U162">
        <v>35844</v>
      </c>
      <c r="V162">
        <v>8</v>
      </c>
      <c r="W162">
        <v>8</v>
      </c>
      <c r="X162">
        <v>2946</v>
      </c>
      <c r="Y162">
        <v>16.5</v>
      </c>
      <c r="Z162" t="s">
        <v>408</v>
      </c>
      <c r="AA162">
        <v>46</v>
      </c>
      <c r="AB162">
        <v>54</v>
      </c>
      <c r="AC162" t="s">
        <v>53</v>
      </c>
      <c r="AD162">
        <v>25172</v>
      </c>
      <c r="AE162">
        <v>11922</v>
      </c>
      <c r="AF162">
        <v>647.61</v>
      </c>
      <c r="AG162">
        <v>98</v>
      </c>
      <c r="AH162">
        <v>2</v>
      </c>
      <c r="AI162">
        <v>56.843244897959181</v>
      </c>
      <c r="AJ162">
        <v>29.74</v>
      </c>
      <c r="AK162">
        <v>38.11</v>
      </c>
      <c r="AL162">
        <v>19.260000000000002</v>
      </c>
      <c r="AM162">
        <v>264</v>
      </c>
      <c r="AN162">
        <v>81.27</v>
      </c>
      <c r="AO162">
        <v>87.64</v>
      </c>
      <c r="AP162">
        <v>16.5</v>
      </c>
      <c r="AQ162">
        <v>8</v>
      </c>
      <c r="AR162">
        <v>37.9</v>
      </c>
    </row>
    <row r="163" spans="1:44" x14ac:dyDescent="0.3">
      <c r="A163">
        <v>162</v>
      </c>
      <c r="B163" t="s">
        <v>674</v>
      </c>
      <c r="C163">
        <v>2024</v>
      </c>
      <c r="D163">
        <f>266</f>
        <v>266</v>
      </c>
      <c r="E163">
        <v>7</v>
      </c>
      <c r="F163" t="s">
        <v>675</v>
      </c>
      <c r="G163" t="s">
        <v>161</v>
      </c>
      <c r="H163" t="s">
        <v>100</v>
      </c>
      <c r="I163" t="s">
        <v>676</v>
      </c>
      <c r="J163" t="s">
        <v>50</v>
      </c>
      <c r="K163">
        <v>15</v>
      </c>
      <c r="L163">
        <v>11.9</v>
      </c>
      <c r="M163">
        <v>98.6</v>
      </c>
      <c r="N163">
        <v>763</v>
      </c>
      <c r="O163">
        <v>20038</v>
      </c>
      <c r="P163">
        <v>98.6</v>
      </c>
      <c r="Q163">
        <v>144</v>
      </c>
      <c r="R163">
        <v>60.6</v>
      </c>
      <c r="S163">
        <v>3.35</v>
      </c>
      <c r="T163" t="s">
        <v>71</v>
      </c>
      <c r="U163">
        <v>3799</v>
      </c>
      <c r="V163">
        <v>9</v>
      </c>
      <c r="W163">
        <v>8</v>
      </c>
      <c r="X163">
        <v>518</v>
      </c>
      <c r="Y163">
        <v>11.8</v>
      </c>
      <c r="Z163" t="s">
        <v>350</v>
      </c>
      <c r="AA163">
        <v>29</v>
      </c>
      <c r="AB163">
        <v>71</v>
      </c>
      <c r="AC163" t="s">
        <v>53</v>
      </c>
      <c r="AD163">
        <v>2761</v>
      </c>
      <c r="AE163">
        <v>1107</v>
      </c>
      <c r="AF163">
        <v>682.03</v>
      </c>
      <c r="AG163">
        <v>18</v>
      </c>
      <c r="AH163">
        <v>62</v>
      </c>
      <c r="AI163">
        <v>43.175027777777778</v>
      </c>
      <c r="AJ163">
        <v>22.69</v>
      </c>
      <c r="AK163">
        <v>33</v>
      </c>
      <c r="AL163">
        <v>15.2</v>
      </c>
      <c r="AM163">
        <v>266</v>
      </c>
      <c r="AN163">
        <v>81.13</v>
      </c>
      <c r="AO163">
        <v>83.4</v>
      </c>
      <c r="AP163">
        <v>11.8</v>
      </c>
      <c r="AQ163">
        <v>9</v>
      </c>
      <c r="AR163">
        <v>37.700000000000003</v>
      </c>
    </row>
    <row r="164" spans="1:44" x14ac:dyDescent="0.3">
      <c r="A164">
        <v>163</v>
      </c>
      <c r="B164" t="s">
        <v>677</v>
      </c>
      <c r="C164">
        <v>2024</v>
      </c>
      <c r="D164">
        <f>268</f>
        <v>268</v>
      </c>
      <c r="E164">
        <v>8</v>
      </c>
      <c r="F164" t="s">
        <v>678</v>
      </c>
      <c r="G164" t="s">
        <v>282</v>
      </c>
      <c r="H164" t="s">
        <v>48</v>
      </c>
      <c r="I164" t="s">
        <v>679</v>
      </c>
      <c r="J164" t="s">
        <v>50</v>
      </c>
      <c r="K164">
        <v>19</v>
      </c>
      <c r="L164">
        <v>26.6</v>
      </c>
      <c r="M164">
        <v>48.8</v>
      </c>
      <c r="N164">
        <v>3886</v>
      </c>
      <c r="O164">
        <v>327</v>
      </c>
      <c r="P164">
        <v>48.8</v>
      </c>
      <c r="Q164">
        <v>190</v>
      </c>
      <c r="R164">
        <v>343</v>
      </c>
      <c r="S164">
        <v>222.2977566281441</v>
      </c>
      <c r="T164" t="s">
        <v>77</v>
      </c>
      <c r="U164">
        <v>15233</v>
      </c>
      <c r="V164">
        <v>15</v>
      </c>
      <c r="W164">
        <v>18</v>
      </c>
      <c r="X164">
        <v>1.4710000000000001</v>
      </c>
      <c r="Y164">
        <v>14.9</v>
      </c>
      <c r="Z164" t="s">
        <v>87</v>
      </c>
      <c r="AA164">
        <v>54</v>
      </c>
      <c r="AB164">
        <v>46</v>
      </c>
      <c r="AC164" t="s">
        <v>53</v>
      </c>
      <c r="AD164">
        <v>10091</v>
      </c>
      <c r="AE164">
        <v>5039</v>
      </c>
      <c r="AF164">
        <v>329.54</v>
      </c>
      <c r="AG164">
        <v>6</v>
      </c>
      <c r="AH164">
        <v>106</v>
      </c>
      <c r="AI164">
        <v>60.135250000000013</v>
      </c>
      <c r="AJ164">
        <v>52.01</v>
      </c>
      <c r="AK164">
        <v>53.18</v>
      </c>
      <c r="AL164">
        <v>14.92</v>
      </c>
      <c r="AM164">
        <v>268</v>
      </c>
      <c r="AN164">
        <v>80.989999999999995</v>
      </c>
      <c r="AO164">
        <v>166.48</v>
      </c>
      <c r="AP164">
        <v>14.9</v>
      </c>
      <c r="AQ164">
        <v>15</v>
      </c>
      <c r="AR164">
        <v>37.5</v>
      </c>
    </row>
    <row r="165" spans="1:44" x14ac:dyDescent="0.3">
      <c r="A165">
        <v>164</v>
      </c>
      <c r="B165" t="s">
        <v>680</v>
      </c>
      <c r="C165">
        <v>2024</v>
      </c>
      <c r="D165">
        <f>268</f>
        <v>268</v>
      </c>
      <c r="E165">
        <v>37</v>
      </c>
      <c r="F165" t="s">
        <v>678</v>
      </c>
      <c r="G165" t="s">
        <v>63</v>
      </c>
      <c r="H165" t="s">
        <v>64</v>
      </c>
      <c r="I165" t="s">
        <v>681</v>
      </c>
      <c r="J165" t="s">
        <v>50</v>
      </c>
      <c r="K165">
        <v>37.6</v>
      </c>
      <c r="L165">
        <v>16.600000000000001</v>
      </c>
      <c r="M165">
        <v>50.3</v>
      </c>
      <c r="N165">
        <v>9833</v>
      </c>
      <c r="O165">
        <v>57</v>
      </c>
      <c r="P165">
        <v>50.3</v>
      </c>
      <c r="Q165">
        <v>407</v>
      </c>
      <c r="R165">
        <v>133</v>
      </c>
      <c r="S165">
        <v>2.0540540540540501E-2</v>
      </c>
      <c r="T165" t="s">
        <v>58</v>
      </c>
      <c r="U165">
        <v>35675</v>
      </c>
      <c r="V165">
        <v>26</v>
      </c>
      <c r="W165">
        <v>24</v>
      </c>
      <c r="X165">
        <v>2775</v>
      </c>
      <c r="Y165">
        <v>16.2</v>
      </c>
      <c r="Z165" t="s">
        <v>337</v>
      </c>
      <c r="AA165">
        <v>54</v>
      </c>
      <c r="AB165">
        <v>46</v>
      </c>
      <c r="AC165" t="s">
        <v>53</v>
      </c>
      <c r="AD165">
        <v>17347</v>
      </c>
      <c r="AE165">
        <v>17732</v>
      </c>
      <c r="AF165">
        <v>647.61</v>
      </c>
      <c r="AG165">
        <v>98</v>
      </c>
      <c r="AH165">
        <v>2</v>
      </c>
      <c r="AI165">
        <v>56.843244897959181</v>
      </c>
      <c r="AJ165">
        <v>29.74</v>
      </c>
      <c r="AK165">
        <v>38.11</v>
      </c>
      <c r="AL165">
        <v>19.260000000000002</v>
      </c>
      <c r="AM165">
        <v>268</v>
      </c>
      <c r="AN165">
        <v>80.989999999999995</v>
      </c>
      <c r="AO165">
        <v>83.38</v>
      </c>
      <c r="AP165">
        <v>16.2</v>
      </c>
      <c r="AQ165">
        <v>26</v>
      </c>
      <c r="AR165">
        <v>37.5</v>
      </c>
    </row>
    <row r="166" spans="1:44" x14ac:dyDescent="0.3">
      <c r="A166">
        <v>165</v>
      </c>
      <c r="B166" t="s">
        <v>682</v>
      </c>
      <c r="C166">
        <v>2024</v>
      </c>
      <c r="D166">
        <f>268</f>
        <v>268</v>
      </c>
      <c r="E166">
        <v>15</v>
      </c>
      <c r="F166" t="s">
        <v>678</v>
      </c>
      <c r="G166" t="s">
        <v>150</v>
      </c>
      <c r="H166" t="s">
        <v>48</v>
      </c>
      <c r="I166" t="s">
        <v>683</v>
      </c>
      <c r="J166" t="s">
        <v>50</v>
      </c>
      <c r="K166">
        <v>36.9</v>
      </c>
      <c r="L166">
        <v>38.5</v>
      </c>
      <c r="M166">
        <v>31.2</v>
      </c>
      <c r="N166">
        <v>4418</v>
      </c>
      <c r="O166">
        <v>222</v>
      </c>
      <c r="P166">
        <v>31.2</v>
      </c>
      <c r="Q166">
        <v>334</v>
      </c>
      <c r="R166">
        <v>221</v>
      </c>
      <c r="S166">
        <v>8.1497797356828106E-2</v>
      </c>
      <c r="T166" t="s">
        <v>51</v>
      </c>
      <c r="U166">
        <v>31299</v>
      </c>
      <c r="V166">
        <v>17</v>
      </c>
      <c r="W166">
        <v>18</v>
      </c>
      <c r="X166">
        <v>2724</v>
      </c>
      <c r="Y166">
        <v>28.7</v>
      </c>
      <c r="Z166" t="s">
        <v>66</v>
      </c>
      <c r="AA166">
        <v>51.128176529999998</v>
      </c>
      <c r="AB166">
        <v>48.871823470000002</v>
      </c>
      <c r="AC166" t="s">
        <v>53</v>
      </c>
      <c r="AD166">
        <v>17122</v>
      </c>
      <c r="AE166">
        <v>10156</v>
      </c>
      <c r="AF166">
        <v>409.72</v>
      </c>
      <c r="AG166">
        <v>9</v>
      </c>
      <c r="AH166">
        <v>31</v>
      </c>
      <c r="AI166">
        <v>59.471888888888877</v>
      </c>
      <c r="AJ166">
        <v>45.16</v>
      </c>
      <c r="AK166">
        <v>47.76</v>
      </c>
      <c r="AL166">
        <v>22.4</v>
      </c>
      <c r="AM166">
        <v>268</v>
      </c>
      <c r="AN166">
        <v>80.989999999999995</v>
      </c>
      <c r="AO166">
        <v>107.12</v>
      </c>
      <c r="AP166">
        <v>28.7</v>
      </c>
      <c r="AQ166">
        <v>17</v>
      </c>
      <c r="AR166">
        <v>37.5</v>
      </c>
    </row>
    <row r="167" spans="1:44" x14ac:dyDescent="0.3">
      <c r="A167">
        <v>166</v>
      </c>
      <c r="B167" t="s">
        <v>684</v>
      </c>
      <c r="C167">
        <v>2024</v>
      </c>
      <c r="D167">
        <f>272</f>
        <v>272</v>
      </c>
      <c r="E167">
        <v>24</v>
      </c>
      <c r="F167" t="s">
        <v>685</v>
      </c>
      <c r="G167" t="s">
        <v>47</v>
      </c>
      <c r="H167" t="s">
        <v>48</v>
      </c>
      <c r="I167" t="s">
        <v>686</v>
      </c>
      <c r="J167" t="s">
        <v>50</v>
      </c>
      <c r="K167">
        <v>21.2</v>
      </c>
      <c r="L167">
        <v>14.2</v>
      </c>
      <c r="M167">
        <v>45.3</v>
      </c>
      <c r="N167">
        <v>8845</v>
      </c>
      <c r="O167">
        <v>275</v>
      </c>
      <c r="P167">
        <v>45.3</v>
      </c>
      <c r="Q167">
        <v>181</v>
      </c>
      <c r="R167">
        <v>345</v>
      </c>
      <c r="S167">
        <v>0.18115942028985499</v>
      </c>
      <c r="T167" t="s">
        <v>51</v>
      </c>
      <c r="U167">
        <v>14000</v>
      </c>
      <c r="V167">
        <v>31</v>
      </c>
      <c r="W167">
        <v>37</v>
      </c>
      <c r="X167">
        <v>1518</v>
      </c>
      <c r="Y167">
        <v>13.9</v>
      </c>
      <c r="Z167" t="s">
        <v>87</v>
      </c>
      <c r="AA167">
        <v>53</v>
      </c>
      <c r="AB167">
        <v>47</v>
      </c>
      <c r="AC167" t="s">
        <v>53</v>
      </c>
      <c r="AD167">
        <v>10471</v>
      </c>
      <c r="AE167">
        <v>5964</v>
      </c>
      <c r="AF167">
        <v>614.48</v>
      </c>
      <c r="AG167">
        <v>69</v>
      </c>
      <c r="AH167">
        <v>1</v>
      </c>
      <c r="AI167">
        <v>50.817340579710141</v>
      </c>
      <c r="AJ167">
        <v>35.82</v>
      </c>
      <c r="AK167">
        <v>38.92</v>
      </c>
      <c r="AL167">
        <v>35.29</v>
      </c>
      <c r="AM167">
        <v>272</v>
      </c>
      <c r="AN167">
        <v>80.7</v>
      </c>
      <c r="AO167">
        <v>165.18</v>
      </c>
      <c r="AP167">
        <v>13.9</v>
      </c>
      <c r="AQ167">
        <v>31</v>
      </c>
      <c r="AR167">
        <v>37.299999999999997</v>
      </c>
    </row>
    <row r="168" spans="1:44" x14ac:dyDescent="0.3">
      <c r="A168">
        <v>167</v>
      </c>
      <c r="B168" t="s">
        <v>687</v>
      </c>
      <c r="C168">
        <v>2024</v>
      </c>
      <c r="D168" t="s">
        <v>688</v>
      </c>
      <c r="E168">
        <v>68</v>
      </c>
      <c r="F168" t="s">
        <v>689</v>
      </c>
      <c r="G168" t="s">
        <v>63</v>
      </c>
      <c r="H168" t="s">
        <v>64</v>
      </c>
      <c r="I168" t="s">
        <v>690</v>
      </c>
      <c r="J168" t="s">
        <v>50</v>
      </c>
      <c r="K168">
        <v>27.8</v>
      </c>
      <c r="L168">
        <v>25</v>
      </c>
      <c r="M168">
        <v>67.3</v>
      </c>
      <c r="N168">
        <v>6587</v>
      </c>
      <c r="O168">
        <v>200</v>
      </c>
      <c r="P168">
        <v>67.3</v>
      </c>
      <c r="Q168">
        <v>226</v>
      </c>
      <c r="R168">
        <v>170</v>
      </c>
      <c r="S168">
        <v>0.102880658436214</v>
      </c>
      <c r="T168" t="s">
        <v>58</v>
      </c>
      <c r="U168">
        <v>31391</v>
      </c>
      <c r="V168">
        <v>11</v>
      </c>
      <c r="W168">
        <v>13</v>
      </c>
      <c r="X168">
        <v>1944</v>
      </c>
      <c r="Y168">
        <v>15.9</v>
      </c>
      <c r="Z168" t="s">
        <v>59</v>
      </c>
      <c r="AA168">
        <v>49</v>
      </c>
      <c r="AB168">
        <v>51</v>
      </c>
      <c r="AC168" t="s">
        <v>53</v>
      </c>
      <c r="AD168">
        <v>26214</v>
      </c>
      <c r="AE168">
        <v>6335</v>
      </c>
      <c r="AF168">
        <v>647.61</v>
      </c>
      <c r="AG168">
        <v>98</v>
      </c>
      <c r="AH168">
        <v>2</v>
      </c>
      <c r="AI168">
        <v>56.843244897959181</v>
      </c>
      <c r="AJ168">
        <v>29.74</v>
      </c>
      <c r="AK168">
        <v>38.11</v>
      </c>
      <c r="AL168">
        <v>19.260000000000002</v>
      </c>
      <c r="AM168">
        <v>274</v>
      </c>
      <c r="AN168">
        <v>80.56</v>
      </c>
      <c r="AO168">
        <v>108.38</v>
      </c>
      <c r="AP168">
        <v>15.9</v>
      </c>
      <c r="AQ168">
        <v>11</v>
      </c>
      <c r="AR168">
        <v>37.200000000000003</v>
      </c>
    </row>
    <row r="169" spans="1:44" x14ac:dyDescent="0.3">
      <c r="A169">
        <v>168</v>
      </c>
      <c r="B169" t="s">
        <v>691</v>
      </c>
      <c r="C169">
        <v>2024</v>
      </c>
      <c r="D169" t="s">
        <v>692</v>
      </c>
      <c r="E169">
        <v>12</v>
      </c>
      <c r="F169" t="s">
        <v>693</v>
      </c>
      <c r="G169" t="s">
        <v>99</v>
      </c>
      <c r="H169" t="s">
        <v>100</v>
      </c>
      <c r="I169" t="s">
        <v>520</v>
      </c>
      <c r="J169" t="s">
        <v>50</v>
      </c>
      <c r="K169">
        <v>22.7</v>
      </c>
      <c r="L169">
        <v>29.2</v>
      </c>
      <c r="M169">
        <v>99.3</v>
      </c>
      <c r="N169">
        <v>12017</v>
      </c>
      <c r="O169">
        <v>541</v>
      </c>
      <c r="P169">
        <v>99.3</v>
      </c>
      <c r="Q169">
        <v>653</v>
      </c>
      <c r="R169">
        <v>77</v>
      </c>
      <c r="S169">
        <v>134.77827603388141</v>
      </c>
      <c r="T169" t="s">
        <v>51</v>
      </c>
      <c r="U169">
        <v>57663</v>
      </c>
      <c r="V169">
        <v>4</v>
      </c>
      <c r="W169">
        <v>4</v>
      </c>
      <c r="X169">
        <v>4.0140000000000002</v>
      </c>
      <c r="Y169">
        <v>15.5</v>
      </c>
      <c r="Z169" t="s">
        <v>185</v>
      </c>
      <c r="AA169">
        <v>51.912852370000003</v>
      </c>
      <c r="AB169">
        <v>48.087147629999997</v>
      </c>
      <c r="AC169" t="s">
        <v>53</v>
      </c>
      <c r="AD169">
        <v>45958</v>
      </c>
      <c r="AE169">
        <v>15831</v>
      </c>
      <c r="AF169">
        <v>616.32000000000005</v>
      </c>
      <c r="AG169">
        <v>35</v>
      </c>
      <c r="AH169">
        <v>12</v>
      </c>
      <c r="AI169">
        <v>56.538228571428569</v>
      </c>
      <c r="AJ169">
        <v>21.88</v>
      </c>
      <c r="AK169">
        <v>70.61</v>
      </c>
      <c r="AL169">
        <v>14.17</v>
      </c>
      <c r="AM169">
        <v>275</v>
      </c>
      <c r="AN169">
        <v>80.489999999999995</v>
      </c>
      <c r="AO169">
        <v>90.38</v>
      </c>
      <c r="AP169">
        <v>15.5</v>
      </c>
      <c r="AQ169">
        <v>4</v>
      </c>
      <c r="AR169">
        <v>37.1</v>
      </c>
    </row>
    <row r="170" spans="1:44" x14ac:dyDescent="0.3">
      <c r="A170">
        <v>169</v>
      </c>
      <c r="B170" t="s">
        <v>694</v>
      </c>
      <c r="C170">
        <v>2024</v>
      </c>
      <c r="D170">
        <f>276</f>
        <v>276</v>
      </c>
      <c r="E170">
        <v>2</v>
      </c>
      <c r="F170" t="s">
        <v>695</v>
      </c>
      <c r="G170" t="s">
        <v>384</v>
      </c>
      <c r="H170" t="s">
        <v>48</v>
      </c>
      <c r="I170" t="s">
        <v>385</v>
      </c>
      <c r="J170" t="s">
        <v>50</v>
      </c>
      <c r="K170">
        <v>51.2</v>
      </c>
      <c r="L170">
        <v>12.7</v>
      </c>
      <c r="M170">
        <v>47.8</v>
      </c>
      <c r="N170">
        <v>10899</v>
      </c>
      <c r="O170">
        <v>114</v>
      </c>
      <c r="P170">
        <v>47.8</v>
      </c>
      <c r="Q170">
        <v>528</v>
      </c>
      <c r="R170">
        <v>117</v>
      </c>
      <c r="S170">
        <v>4.5310015898251101E-2</v>
      </c>
      <c r="T170" t="s">
        <v>96</v>
      </c>
      <c r="U170">
        <v>50995</v>
      </c>
      <c r="V170">
        <v>7</v>
      </c>
      <c r="W170">
        <v>7</v>
      </c>
      <c r="X170">
        <v>2516</v>
      </c>
      <c r="Y170">
        <v>21.8</v>
      </c>
      <c r="Z170" t="s">
        <v>202</v>
      </c>
      <c r="AA170">
        <v>60</v>
      </c>
      <c r="AB170">
        <v>40</v>
      </c>
      <c r="AC170" t="s">
        <v>53</v>
      </c>
      <c r="AD170">
        <v>32053</v>
      </c>
      <c r="AE170">
        <v>12376</v>
      </c>
      <c r="AF170">
        <v>644.77</v>
      </c>
      <c r="AG170">
        <v>18</v>
      </c>
      <c r="AH170">
        <v>181</v>
      </c>
      <c r="AI170">
        <v>47.393000000000001</v>
      </c>
      <c r="AJ170">
        <v>35.17</v>
      </c>
      <c r="AK170">
        <v>47.49</v>
      </c>
      <c r="AL170">
        <v>13.04</v>
      </c>
      <c r="AM170">
        <v>276</v>
      </c>
      <c r="AN170">
        <v>80.41</v>
      </c>
      <c r="AO170">
        <v>75.48</v>
      </c>
      <c r="AP170">
        <v>21.8</v>
      </c>
      <c r="AQ170">
        <v>7</v>
      </c>
      <c r="AR170">
        <v>37</v>
      </c>
    </row>
    <row r="171" spans="1:44" x14ac:dyDescent="0.3">
      <c r="A171">
        <v>170</v>
      </c>
      <c r="B171" t="s">
        <v>696</v>
      </c>
      <c r="C171">
        <v>2024</v>
      </c>
      <c r="D171">
        <f>276</f>
        <v>276</v>
      </c>
      <c r="E171">
        <v>35</v>
      </c>
      <c r="F171" t="s">
        <v>695</v>
      </c>
      <c r="G171" t="s">
        <v>47</v>
      </c>
      <c r="H171" t="s">
        <v>48</v>
      </c>
      <c r="I171" t="s">
        <v>261</v>
      </c>
      <c r="J171" t="s">
        <v>50</v>
      </c>
      <c r="K171">
        <v>26.3</v>
      </c>
      <c r="L171">
        <v>34.6</v>
      </c>
      <c r="M171">
        <v>33.700000000000003</v>
      </c>
      <c r="N171">
        <v>4409</v>
      </c>
      <c r="O171">
        <v>304</v>
      </c>
      <c r="P171">
        <v>33.700000000000003</v>
      </c>
      <c r="Q171">
        <v>238</v>
      </c>
      <c r="R171">
        <v>466</v>
      </c>
      <c r="S171">
        <v>0.19843342036553521</v>
      </c>
      <c r="T171" t="s">
        <v>71</v>
      </c>
      <c r="U171">
        <v>20400</v>
      </c>
      <c r="V171">
        <v>25</v>
      </c>
      <c r="W171">
        <v>28</v>
      </c>
      <c r="X171">
        <v>1532</v>
      </c>
      <c r="Y171">
        <v>16.3</v>
      </c>
      <c r="Z171" t="s">
        <v>66</v>
      </c>
      <c r="AA171">
        <v>52</v>
      </c>
      <c r="AB171">
        <v>48</v>
      </c>
      <c r="AC171" t="s">
        <v>53</v>
      </c>
      <c r="AD171">
        <v>10912</v>
      </c>
      <c r="AE171">
        <v>8173</v>
      </c>
      <c r="AF171">
        <v>614.48</v>
      </c>
      <c r="AG171">
        <v>69</v>
      </c>
      <c r="AH171">
        <v>1</v>
      </c>
      <c r="AI171">
        <v>50.817340579710141</v>
      </c>
      <c r="AJ171">
        <v>35.82</v>
      </c>
      <c r="AK171">
        <v>38.92</v>
      </c>
      <c r="AL171">
        <v>35.29</v>
      </c>
      <c r="AM171">
        <v>276</v>
      </c>
      <c r="AN171">
        <v>80.41</v>
      </c>
      <c r="AO171">
        <v>206.62</v>
      </c>
      <c r="AP171">
        <v>16.3</v>
      </c>
      <c r="AQ171">
        <v>25</v>
      </c>
      <c r="AR171">
        <v>37</v>
      </c>
    </row>
    <row r="172" spans="1:44" x14ac:dyDescent="0.3">
      <c r="A172">
        <v>171</v>
      </c>
      <c r="B172" t="s">
        <v>697</v>
      </c>
      <c r="C172">
        <v>2024</v>
      </c>
      <c r="D172">
        <f>278</f>
        <v>278</v>
      </c>
      <c r="E172">
        <v>78</v>
      </c>
      <c r="F172" t="s">
        <v>698</v>
      </c>
      <c r="G172" t="s">
        <v>63</v>
      </c>
      <c r="H172" t="s">
        <v>64</v>
      </c>
      <c r="I172" t="s">
        <v>699</v>
      </c>
      <c r="J172" t="s">
        <v>65</v>
      </c>
      <c r="K172">
        <v>20.100000000000001</v>
      </c>
      <c r="L172">
        <v>44.7</v>
      </c>
      <c r="M172">
        <v>19.2</v>
      </c>
      <c r="N172">
        <v>5566</v>
      </c>
      <c r="O172">
        <v>129</v>
      </c>
      <c r="P172">
        <v>19.2</v>
      </c>
      <c r="Q172">
        <v>248</v>
      </c>
      <c r="R172">
        <v>204</v>
      </c>
      <c r="S172">
        <v>5.0292397660818701E-2</v>
      </c>
      <c r="T172" t="s">
        <v>71</v>
      </c>
      <c r="U172">
        <v>17060</v>
      </c>
      <c r="V172">
        <v>14</v>
      </c>
      <c r="W172">
        <v>12</v>
      </c>
      <c r="X172">
        <v>2565</v>
      </c>
      <c r="Y172">
        <v>10.4</v>
      </c>
      <c r="Z172" t="s">
        <v>87</v>
      </c>
      <c r="AA172">
        <v>54</v>
      </c>
      <c r="AB172">
        <v>46</v>
      </c>
      <c r="AC172" t="s">
        <v>53</v>
      </c>
      <c r="AD172">
        <v>10398</v>
      </c>
      <c r="AE172">
        <v>8176</v>
      </c>
      <c r="AF172">
        <v>647.61</v>
      </c>
      <c r="AG172">
        <v>98</v>
      </c>
      <c r="AH172">
        <v>2</v>
      </c>
      <c r="AI172">
        <v>56.843244897959181</v>
      </c>
      <c r="AJ172">
        <v>29.74</v>
      </c>
      <c r="AK172">
        <v>38.11</v>
      </c>
      <c r="AL172">
        <v>19.260000000000002</v>
      </c>
      <c r="AM172">
        <v>278</v>
      </c>
      <c r="AN172">
        <v>80.27</v>
      </c>
      <c r="AO172">
        <v>93.12</v>
      </c>
      <c r="AP172">
        <v>10.4</v>
      </c>
      <c r="AQ172">
        <v>14</v>
      </c>
      <c r="AR172">
        <v>36.9</v>
      </c>
    </row>
    <row r="173" spans="1:44" x14ac:dyDescent="0.3">
      <c r="A173">
        <v>172</v>
      </c>
      <c r="B173" t="s">
        <v>700</v>
      </c>
      <c r="C173">
        <v>2024</v>
      </c>
      <c r="D173" t="s">
        <v>701</v>
      </c>
      <c r="E173">
        <v>20</v>
      </c>
      <c r="F173" t="s">
        <v>702</v>
      </c>
      <c r="G173" t="s">
        <v>481</v>
      </c>
      <c r="H173" t="s">
        <v>48</v>
      </c>
      <c r="I173" t="s">
        <v>703</v>
      </c>
      <c r="J173" t="s">
        <v>65</v>
      </c>
      <c r="K173">
        <v>29</v>
      </c>
      <c r="L173">
        <v>61.2</v>
      </c>
      <c r="M173">
        <v>15.1</v>
      </c>
      <c r="N173">
        <v>1583</v>
      </c>
      <c r="O173">
        <v>1001</v>
      </c>
      <c r="P173">
        <v>15.1</v>
      </c>
      <c r="Q173">
        <v>103</v>
      </c>
      <c r="R173">
        <v>677</v>
      </c>
      <c r="S173">
        <v>0.85191489361702133</v>
      </c>
      <c r="T173" t="s">
        <v>51</v>
      </c>
      <c r="U173">
        <v>11969</v>
      </c>
      <c r="V173">
        <v>26</v>
      </c>
      <c r="W173">
        <v>30</v>
      </c>
      <c r="X173">
        <v>1175</v>
      </c>
      <c r="Y173">
        <v>14.3</v>
      </c>
      <c r="Z173" t="s">
        <v>87</v>
      </c>
      <c r="AA173">
        <v>56</v>
      </c>
      <c r="AB173">
        <v>44</v>
      </c>
      <c r="AC173" t="s">
        <v>53</v>
      </c>
      <c r="AD173">
        <v>9739</v>
      </c>
      <c r="AE173">
        <v>3009</v>
      </c>
      <c r="AF173">
        <v>906.25</v>
      </c>
      <c r="AG173">
        <v>9</v>
      </c>
      <c r="AH173">
        <v>313</v>
      </c>
      <c r="AI173">
        <v>39.444055555555551</v>
      </c>
      <c r="AJ173">
        <v>32.270000000000003</v>
      </c>
      <c r="AK173">
        <v>29.18</v>
      </c>
      <c r="AL173">
        <v>17.100000000000001</v>
      </c>
      <c r="AM173">
        <v>280</v>
      </c>
      <c r="AN173">
        <v>80.13</v>
      </c>
      <c r="AO173">
        <v>279.86</v>
      </c>
      <c r="AP173">
        <v>14.3</v>
      </c>
      <c r="AQ173">
        <v>26</v>
      </c>
      <c r="AR173">
        <v>36.799999999999997</v>
      </c>
    </row>
    <row r="174" spans="1:44" x14ac:dyDescent="0.3">
      <c r="A174">
        <v>173</v>
      </c>
      <c r="B174" t="s">
        <v>704</v>
      </c>
      <c r="C174">
        <v>2024</v>
      </c>
      <c r="D174">
        <f>281</f>
        <v>281</v>
      </c>
      <c r="E174">
        <v>3</v>
      </c>
      <c r="F174" t="s">
        <v>705</v>
      </c>
      <c r="G174" t="s">
        <v>706</v>
      </c>
      <c r="H174" t="s">
        <v>100</v>
      </c>
      <c r="I174" t="s">
        <v>707</v>
      </c>
      <c r="J174" t="s">
        <v>50</v>
      </c>
      <c r="K174">
        <v>41</v>
      </c>
      <c r="L174">
        <v>65.599999999999994</v>
      </c>
      <c r="M174">
        <v>2.5</v>
      </c>
      <c r="N174">
        <v>15960</v>
      </c>
      <c r="O174">
        <v>18245</v>
      </c>
      <c r="P174">
        <v>2.5</v>
      </c>
      <c r="Q174">
        <v>124</v>
      </c>
      <c r="R174">
        <v>32</v>
      </c>
      <c r="S174">
        <v>4.54</v>
      </c>
      <c r="T174" t="s">
        <v>51</v>
      </c>
      <c r="U174">
        <v>27774</v>
      </c>
      <c r="V174">
        <v>3</v>
      </c>
      <c r="W174">
        <v>21.293691620000001</v>
      </c>
      <c r="X174">
        <v>2228</v>
      </c>
      <c r="Y174">
        <v>15.3</v>
      </c>
      <c r="Z174" t="s">
        <v>510</v>
      </c>
      <c r="AA174">
        <v>40.331402930000003</v>
      </c>
      <c r="AB174">
        <v>59.668597069999997</v>
      </c>
      <c r="AC174" t="s">
        <v>53</v>
      </c>
      <c r="AD174">
        <v>17328</v>
      </c>
      <c r="AE174">
        <v>7868</v>
      </c>
      <c r="AF174">
        <v>1323.15</v>
      </c>
      <c r="AG174">
        <v>11</v>
      </c>
      <c r="AH174">
        <v>1332</v>
      </c>
      <c r="AI174">
        <v>21.125681818181821</v>
      </c>
      <c r="AJ174">
        <v>23.15</v>
      </c>
      <c r="AK174">
        <v>10.65</v>
      </c>
      <c r="AL174">
        <v>6.33</v>
      </c>
      <c r="AM174">
        <v>281</v>
      </c>
      <c r="AN174">
        <v>80.06</v>
      </c>
      <c r="AO174">
        <v>14.3</v>
      </c>
      <c r="AP174">
        <v>15.3</v>
      </c>
      <c r="AQ174">
        <v>3</v>
      </c>
      <c r="AR174">
        <v>36.6</v>
      </c>
    </row>
    <row r="175" spans="1:44" x14ac:dyDescent="0.3">
      <c r="A175">
        <v>174</v>
      </c>
      <c r="B175" t="s">
        <v>708</v>
      </c>
      <c r="C175">
        <v>2024</v>
      </c>
      <c r="D175">
        <f>281</f>
        <v>281</v>
      </c>
      <c r="E175">
        <v>2</v>
      </c>
      <c r="F175" t="s">
        <v>705</v>
      </c>
      <c r="G175" t="s">
        <v>366</v>
      </c>
      <c r="H175" t="s">
        <v>48</v>
      </c>
      <c r="I175" t="s">
        <v>709</v>
      </c>
      <c r="J175" t="s">
        <v>50</v>
      </c>
      <c r="K175">
        <v>32.700000000000003</v>
      </c>
      <c r="L175">
        <v>5.4</v>
      </c>
      <c r="M175">
        <v>31.2</v>
      </c>
      <c r="N175">
        <v>3530</v>
      </c>
      <c r="O175">
        <v>222</v>
      </c>
      <c r="P175">
        <v>31.2</v>
      </c>
      <c r="Q175">
        <v>137</v>
      </c>
      <c r="R175">
        <v>264</v>
      </c>
      <c r="S175">
        <v>0.13586291309669521</v>
      </c>
      <c r="T175" t="s">
        <v>71</v>
      </c>
      <c r="U175">
        <v>15751</v>
      </c>
      <c r="V175">
        <v>11</v>
      </c>
      <c r="W175">
        <v>13</v>
      </c>
      <c r="X175">
        <v>1634</v>
      </c>
      <c r="Y175">
        <v>13</v>
      </c>
      <c r="Z175" t="s">
        <v>138</v>
      </c>
      <c r="AA175">
        <v>62</v>
      </c>
      <c r="AB175">
        <v>38</v>
      </c>
      <c r="AC175" t="s">
        <v>53</v>
      </c>
      <c r="AD175">
        <v>12759</v>
      </c>
      <c r="AE175">
        <v>2545</v>
      </c>
      <c r="AF175">
        <v>499</v>
      </c>
      <c r="AG175">
        <v>3</v>
      </c>
      <c r="AH175">
        <v>127</v>
      </c>
      <c r="AI175">
        <v>52.4375</v>
      </c>
      <c r="AJ175">
        <v>35.700000000000003</v>
      </c>
      <c r="AK175">
        <v>35.97</v>
      </c>
      <c r="AL175">
        <v>14.35</v>
      </c>
      <c r="AM175">
        <v>281</v>
      </c>
      <c r="AN175">
        <v>80.06</v>
      </c>
      <c r="AO175">
        <v>124.32</v>
      </c>
      <c r="AP175">
        <v>13</v>
      </c>
      <c r="AQ175">
        <v>11</v>
      </c>
      <c r="AR175">
        <v>36.6</v>
      </c>
    </row>
    <row r="176" spans="1:44" x14ac:dyDescent="0.3">
      <c r="A176">
        <v>175</v>
      </c>
      <c r="B176" t="s">
        <v>710</v>
      </c>
      <c r="C176">
        <v>2024</v>
      </c>
      <c r="D176" t="s">
        <v>711</v>
      </c>
      <c r="E176">
        <v>5</v>
      </c>
      <c r="F176" t="s">
        <v>712</v>
      </c>
      <c r="G176" t="s">
        <v>492</v>
      </c>
      <c r="H176" t="s">
        <v>493</v>
      </c>
      <c r="I176" t="s">
        <v>713</v>
      </c>
      <c r="J176" t="s">
        <v>50</v>
      </c>
      <c r="K176">
        <v>25</v>
      </c>
      <c r="L176">
        <v>39.4</v>
      </c>
      <c r="M176">
        <v>59.9</v>
      </c>
      <c r="N176">
        <v>4574</v>
      </c>
      <c r="O176">
        <v>541</v>
      </c>
      <c r="P176">
        <v>59.9</v>
      </c>
      <c r="Q176">
        <v>180</v>
      </c>
      <c r="R176">
        <v>428</v>
      </c>
      <c r="S176">
        <v>0.57922912205567456</v>
      </c>
      <c r="T176" t="s">
        <v>77</v>
      </c>
      <c r="U176">
        <v>25140</v>
      </c>
      <c r="V176">
        <v>7</v>
      </c>
      <c r="W176">
        <v>7</v>
      </c>
      <c r="X176">
        <v>934</v>
      </c>
      <c r="Y176">
        <v>25.7</v>
      </c>
      <c r="Z176" t="s">
        <v>116</v>
      </c>
      <c r="AA176">
        <v>58</v>
      </c>
      <c r="AB176">
        <v>42</v>
      </c>
      <c r="AC176" t="s">
        <v>53</v>
      </c>
      <c r="AD176">
        <v>19772</v>
      </c>
      <c r="AE176">
        <v>6184</v>
      </c>
      <c r="AF176">
        <v>773.03</v>
      </c>
      <c r="AG176">
        <v>8</v>
      </c>
      <c r="AH176">
        <v>167</v>
      </c>
      <c r="AI176">
        <v>43.070812500000002</v>
      </c>
      <c r="AJ176">
        <v>26.92</v>
      </c>
      <c r="AK176">
        <v>35.4</v>
      </c>
      <c r="AL176">
        <v>8.7799999999999994</v>
      </c>
      <c r="AM176">
        <v>283</v>
      </c>
      <c r="AN176">
        <v>79.91</v>
      </c>
      <c r="AO176">
        <v>207.14</v>
      </c>
      <c r="AP176">
        <v>25.7</v>
      </c>
      <c r="AQ176">
        <v>7</v>
      </c>
      <c r="AR176">
        <v>36.5</v>
      </c>
    </row>
    <row r="177" spans="1:44" x14ac:dyDescent="0.3">
      <c r="A177">
        <v>176</v>
      </c>
      <c r="B177" t="s">
        <v>714</v>
      </c>
      <c r="C177">
        <v>2024</v>
      </c>
      <c r="D177">
        <f>285</f>
        <v>285</v>
      </c>
      <c r="E177">
        <v>24</v>
      </c>
      <c r="F177" t="s">
        <v>715</v>
      </c>
      <c r="G177" t="s">
        <v>107</v>
      </c>
      <c r="H177" t="s">
        <v>108</v>
      </c>
      <c r="I177" t="s">
        <v>166</v>
      </c>
      <c r="J177" t="s">
        <v>50</v>
      </c>
      <c r="K177">
        <v>13.4</v>
      </c>
      <c r="L177">
        <v>12</v>
      </c>
      <c r="M177">
        <v>89.5</v>
      </c>
      <c r="N177">
        <v>6391</v>
      </c>
      <c r="O177">
        <v>541</v>
      </c>
      <c r="P177">
        <v>89.5</v>
      </c>
      <c r="Q177">
        <v>337</v>
      </c>
      <c r="R177">
        <v>822</v>
      </c>
      <c r="S177">
        <v>0.57188160676532773</v>
      </c>
      <c r="T177" t="s">
        <v>77</v>
      </c>
      <c r="U177">
        <v>14324</v>
      </c>
      <c r="V177">
        <v>24</v>
      </c>
      <c r="W177">
        <v>41</v>
      </c>
      <c r="X177">
        <v>946</v>
      </c>
      <c r="Y177">
        <v>28.5</v>
      </c>
      <c r="Z177" t="s">
        <v>78</v>
      </c>
      <c r="AA177">
        <v>43</v>
      </c>
      <c r="AB177">
        <v>57</v>
      </c>
      <c r="AC177" t="s">
        <v>53</v>
      </c>
      <c r="AD177">
        <v>9536</v>
      </c>
      <c r="AE177">
        <v>6189</v>
      </c>
      <c r="AF177">
        <v>373.87</v>
      </c>
      <c r="AG177">
        <v>21</v>
      </c>
      <c r="AH177">
        <v>54</v>
      </c>
      <c r="AI177">
        <v>57.368190476190478</v>
      </c>
      <c r="AJ177">
        <v>42.18</v>
      </c>
      <c r="AK177">
        <v>66.97</v>
      </c>
      <c r="AL177">
        <v>30.67</v>
      </c>
      <c r="AM177">
        <v>285</v>
      </c>
      <c r="AN177">
        <v>79.77</v>
      </c>
      <c r="AO177">
        <v>382.5</v>
      </c>
      <c r="AP177">
        <v>28.5</v>
      </c>
      <c r="AQ177">
        <v>24</v>
      </c>
      <c r="AR177">
        <v>36.1</v>
      </c>
    </row>
    <row r="178" spans="1:44" x14ac:dyDescent="0.3">
      <c r="A178">
        <v>177</v>
      </c>
      <c r="B178" t="s">
        <v>716</v>
      </c>
      <c r="C178">
        <v>2024</v>
      </c>
      <c r="D178">
        <f>285</f>
        <v>285</v>
      </c>
      <c r="E178">
        <v>23</v>
      </c>
      <c r="F178" t="s">
        <v>715</v>
      </c>
      <c r="G178" t="s">
        <v>99</v>
      </c>
      <c r="H178" t="s">
        <v>100</v>
      </c>
      <c r="I178" t="s">
        <v>717</v>
      </c>
      <c r="J178" t="s">
        <v>50</v>
      </c>
      <c r="K178">
        <v>18.7</v>
      </c>
      <c r="L178">
        <v>8.6</v>
      </c>
      <c r="M178">
        <v>98.2</v>
      </c>
      <c r="N178">
        <v>16092</v>
      </c>
      <c r="O178">
        <v>541</v>
      </c>
      <c r="P178">
        <v>98.2</v>
      </c>
      <c r="Q178">
        <v>639</v>
      </c>
      <c r="R178">
        <v>182</v>
      </c>
      <c r="S178">
        <v>171.90975532252941</v>
      </c>
      <c r="T178" t="s">
        <v>58</v>
      </c>
      <c r="U178">
        <v>26486</v>
      </c>
      <c r="V178">
        <v>13</v>
      </c>
      <c r="W178">
        <v>15</v>
      </c>
      <c r="X178">
        <v>3.1469999999999998</v>
      </c>
      <c r="Y178">
        <v>8.9</v>
      </c>
      <c r="Z178" t="s">
        <v>72</v>
      </c>
      <c r="AA178">
        <v>46.71515857</v>
      </c>
      <c r="AB178">
        <v>53.28484143</v>
      </c>
      <c r="AC178" t="s">
        <v>53</v>
      </c>
      <c r="AD178">
        <v>18589</v>
      </c>
      <c r="AE178">
        <v>9277</v>
      </c>
      <c r="AF178">
        <v>616.32000000000005</v>
      </c>
      <c r="AG178">
        <v>35</v>
      </c>
      <c r="AH178">
        <v>12</v>
      </c>
      <c r="AI178">
        <v>56.538228571428569</v>
      </c>
      <c r="AJ178">
        <v>21.88</v>
      </c>
      <c r="AK178">
        <v>70.61</v>
      </c>
      <c r="AL178">
        <v>14.17</v>
      </c>
      <c r="AM178">
        <v>285</v>
      </c>
      <c r="AN178">
        <v>79.77</v>
      </c>
      <c r="AO178">
        <v>131.72</v>
      </c>
      <c r="AP178">
        <v>8.9</v>
      </c>
      <c r="AQ178">
        <v>13</v>
      </c>
      <c r="AR178">
        <v>36.1</v>
      </c>
    </row>
    <row r="179" spans="1:44" x14ac:dyDescent="0.3">
      <c r="A179">
        <v>178</v>
      </c>
      <c r="B179" t="s">
        <v>718</v>
      </c>
      <c r="C179">
        <v>2024</v>
      </c>
      <c r="D179" t="s">
        <v>719</v>
      </c>
      <c r="E179">
        <v>7</v>
      </c>
      <c r="F179" t="s">
        <v>720</v>
      </c>
      <c r="G179" t="s">
        <v>484</v>
      </c>
      <c r="H179" t="s">
        <v>48</v>
      </c>
      <c r="I179" t="s">
        <v>721</v>
      </c>
      <c r="J179" t="s">
        <v>50</v>
      </c>
      <c r="K179">
        <v>26.3</v>
      </c>
      <c r="L179">
        <v>28.2</v>
      </c>
      <c r="M179">
        <v>13.5</v>
      </c>
      <c r="N179">
        <v>5622</v>
      </c>
      <c r="O179">
        <v>74479</v>
      </c>
      <c r="P179">
        <v>13.5</v>
      </c>
      <c r="Q179">
        <v>272</v>
      </c>
      <c r="R179">
        <v>56.5</v>
      </c>
      <c r="S179">
        <v>3.93</v>
      </c>
      <c r="T179" t="s">
        <v>96</v>
      </c>
      <c r="U179">
        <v>15734</v>
      </c>
      <c r="V179">
        <v>16</v>
      </c>
      <c r="W179">
        <v>20</v>
      </c>
      <c r="X179">
        <v>1430</v>
      </c>
      <c r="Y179">
        <v>26.1</v>
      </c>
      <c r="Z179" t="s">
        <v>82</v>
      </c>
      <c r="AA179">
        <v>60</v>
      </c>
      <c r="AB179">
        <v>40</v>
      </c>
      <c r="AC179" t="s">
        <v>53</v>
      </c>
      <c r="AD179">
        <v>7321</v>
      </c>
      <c r="AE179">
        <v>8019</v>
      </c>
      <c r="AF179">
        <v>440</v>
      </c>
      <c r="AG179">
        <v>7</v>
      </c>
      <c r="AH179">
        <v>231</v>
      </c>
      <c r="AI179">
        <v>47.207928571428567</v>
      </c>
      <c r="AJ179">
        <v>44.34</v>
      </c>
      <c r="AK179">
        <v>40.61</v>
      </c>
      <c r="AL179">
        <v>28.35</v>
      </c>
      <c r="AM179">
        <v>289</v>
      </c>
      <c r="AN179">
        <v>79.489999999999995</v>
      </c>
      <c r="AO179">
        <v>30.7</v>
      </c>
      <c r="AP179">
        <v>26.1</v>
      </c>
      <c r="AQ179">
        <v>16</v>
      </c>
      <c r="AR179">
        <v>36</v>
      </c>
    </row>
    <row r="180" spans="1:44" x14ac:dyDescent="0.3">
      <c r="A180">
        <v>179</v>
      </c>
      <c r="B180" t="s">
        <v>722</v>
      </c>
      <c r="C180">
        <v>2024</v>
      </c>
      <c r="D180" t="s">
        <v>723</v>
      </c>
      <c r="E180">
        <v>2</v>
      </c>
      <c r="F180" t="s">
        <v>724</v>
      </c>
      <c r="G180" t="s">
        <v>725</v>
      </c>
      <c r="H180" t="s">
        <v>100</v>
      </c>
      <c r="I180" t="s">
        <v>726</v>
      </c>
      <c r="J180" t="s">
        <v>50</v>
      </c>
      <c r="K180">
        <v>28.3</v>
      </c>
      <c r="L180">
        <v>37.799999999999997</v>
      </c>
      <c r="M180">
        <v>13.8</v>
      </c>
      <c r="N180">
        <v>2167</v>
      </c>
      <c r="O180">
        <v>14146</v>
      </c>
      <c r="P180">
        <v>13.8</v>
      </c>
      <c r="Q180">
        <v>130</v>
      </c>
      <c r="R180">
        <v>39.200000000000003</v>
      </c>
      <c r="S180">
        <v>3.78</v>
      </c>
      <c r="T180" t="s">
        <v>77</v>
      </c>
      <c r="U180">
        <v>8147</v>
      </c>
      <c r="V180">
        <v>18</v>
      </c>
      <c r="W180">
        <v>18</v>
      </c>
      <c r="X180">
        <v>919</v>
      </c>
      <c r="Y180">
        <v>12.6</v>
      </c>
      <c r="Z180" t="s">
        <v>727</v>
      </c>
      <c r="AA180">
        <v>73</v>
      </c>
      <c r="AB180">
        <v>27</v>
      </c>
      <c r="AC180" t="s">
        <v>53</v>
      </c>
      <c r="AD180">
        <v>5385</v>
      </c>
      <c r="AE180">
        <v>3639</v>
      </c>
      <c r="AF180">
        <v>460.42</v>
      </c>
      <c r="AG180">
        <v>5</v>
      </c>
      <c r="AH180">
        <v>229</v>
      </c>
      <c r="AI180">
        <v>49.677900000000001</v>
      </c>
      <c r="AJ180">
        <v>26.87</v>
      </c>
      <c r="AK180">
        <v>33.99</v>
      </c>
      <c r="AL180">
        <v>36.58</v>
      </c>
      <c r="AM180">
        <v>290</v>
      </c>
      <c r="AN180">
        <v>79.41</v>
      </c>
      <c r="AO180">
        <v>23.96</v>
      </c>
      <c r="AP180">
        <v>12.6</v>
      </c>
      <c r="AQ180">
        <v>18</v>
      </c>
      <c r="AR180">
        <v>35.9</v>
      </c>
    </row>
    <row r="181" spans="1:44" x14ac:dyDescent="0.3">
      <c r="A181">
        <v>180</v>
      </c>
      <c r="B181" t="s">
        <v>728</v>
      </c>
      <c r="C181">
        <v>2024</v>
      </c>
      <c r="D181" t="s">
        <v>729</v>
      </c>
      <c r="E181">
        <v>1</v>
      </c>
      <c r="F181" t="s">
        <v>730</v>
      </c>
      <c r="G181" t="s">
        <v>99</v>
      </c>
      <c r="H181" t="s">
        <v>100</v>
      </c>
      <c r="I181" t="s">
        <v>731</v>
      </c>
      <c r="J181" t="s">
        <v>50</v>
      </c>
      <c r="K181">
        <v>21.4</v>
      </c>
      <c r="L181">
        <v>42.2</v>
      </c>
      <c r="M181">
        <v>80.900000000000006</v>
      </c>
      <c r="N181">
        <v>21063</v>
      </c>
      <c r="O181">
        <v>242337</v>
      </c>
      <c r="P181">
        <v>80.900000000000006</v>
      </c>
      <c r="Q181">
        <v>458</v>
      </c>
      <c r="R181">
        <v>53.7</v>
      </c>
      <c r="S181">
        <v>5.09</v>
      </c>
      <c r="T181" t="s">
        <v>96</v>
      </c>
      <c r="U181">
        <v>45764</v>
      </c>
      <c r="V181">
        <v>7</v>
      </c>
      <c r="W181">
        <v>6</v>
      </c>
      <c r="X181">
        <v>3729</v>
      </c>
      <c r="Y181">
        <v>14.7</v>
      </c>
      <c r="Z181" t="s">
        <v>386</v>
      </c>
      <c r="AA181">
        <v>34</v>
      </c>
      <c r="AB181">
        <v>66</v>
      </c>
      <c r="AC181" t="s">
        <v>53</v>
      </c>
      <c r="AD181">
        <v>40543</v>
      </c>
      <c r="AE181">
        <v>14443</v>
      </c>
      <c r="AF181">
        <v>1019.68</v>
      </c>
      <c r="AG181">
        <v>35</v>
      </c>
      <c r="AH181">
        <v>12</v>
      </c>
      <c r="AI181">
        <v>56.538228571428569</v>
      </c>
      <c r="AJ181">
        <v>36.869999999999997</v>
      </c>
      <c r="AK181">
        <v>34.94</v>
      </c>
      <c r="AL181">
        <v>3.11</v>
      </c>
      <c r="AM181">
        <v>291</v>
      </c>
      <c r="AN181">
        <v>79.34</v>
      </c>
      <c r="AO181">
        <v>70.02</v>
      </c>
      <c r="AP181">
        <v>14.7</v>
      </c>
      <c r="AQ181">
        <v>7</v>
      </c>
      <c r="AR181">
        <v>35.799999999999997</v>
      </c>
    </row>
    <row r="182" spans="1:44" x14ac:dyDescent="0.3">
      <c r="A182">
        <v>181</v>
      </c>
      <c r="B182" t="s">
        <v>732</v>
      </c>
      <c r="C182">
        <v>2024</v>
      </c>
      <c r="D182">
        <f>292</f>
        <v>292</v>
      </c>
      <c r="E182">
        <v>3</v>
      </c>
      <c r="F182" t="s">
        <v>733</v>
      </c>
      <c r="G182" t="s">
        <v>484</v>
      </c>
      <c r="H182" t="s">
        <v>48</v>
      </c>
      <c r="I182" t="s">
        <v>734</v>
      </c>
      <c r="J182" t="s">
        <v>50</v>
      </c>
      <c r="K182">
        <v>28.4</v>
      </c>
      <c r="L182">
        <v>36.299999999999997</v>
      </c>
      <c r="M182">
        <v>21.6</v>
      </c>
      <c r="N182">
        <v>4323</v>
      </c>
      <c r="O182">
        <v>405</v>
      </c>
      <c r="P182">
        <v>21.6</v>
      </c>
      <c r="Q182">
        <v>217</v>
      </c>
      <c r="R182">
        <v>518</v>
      </c>
      <c r="S182">
        <v>0.25015441630636193</v>
      </c>
      <c r="T182" t="s">
        <v>77</v>
      </c>
      <c r="U182">
        <v>18567</v>
      </c>
      <c r="V182">
        <v>16</v>
      </c>
      <c r="W182">
        <v>23</v>
      </c>
      <c r="X182">
        <v>1619</v>
      </c>
      <c r="Y182">
        <v>21.1</v>
      </c>
      <c r="Z182" t="s">
        <v>82</v>
      </c>
      <c r="AA182">
        <v>59</v>
      </c>
      <c r="AB182">
        <v>41</v>
      </c>
      <c r="AC182" t="s">
        <v>53</v>
      </c>
      <c r="AD182">
        <v>13243</v>
      </c>
      <c r="AE182">
        <v>5832</v>
      </c>
      <c r="AF182">
        <v>440</v>
      </c>
      <c r="AG182">
        <v>7</v>
      </c>
      <c r="AH182">
        <v>231</v>
      </c>
      <c r="AI182">
        <v>47.207928571428567</v>
      </c>
      <c r="AJ182">
        <v>44.34</v>
      </c>
      <c r="AK182">
        <v>40.61</v>
      </c>
      <c r="AL182">
        <v>28.35</v>
      </c>
      <c r="AM182">
        <v>292</v>
      </c>
      <c r="AN182">
        <v>79.27</v>
      </c>
      <c r="AO182">
        <v>220.16</v>
      </c>
      <c r="AP182">
        <v>21.1</v>
      </c>
      <c r="AQ182">
        <v>16</v>
      </c>
      <c r="AR182">
        <v>35.700000000000003</v>
      </c>
    </row>
    <row r="183" spans="1:44" x14ac:dyDescent="0.3">
      <c r="A183">
        <v>182</v>
      </c>
      <c r="B183" t="s">
        <v>735</v>
      </c>
      <c r="C183">
        <v>2024</v>
      </c>
      <c r="D183" t="s">
        <v>736</v>
      </c>
      <c r="E183">
        <v>10</v>
      </c>
      <c r="F183" t="s">
        <v>737</v>
      </c>
      <c r="G183" t="s">
        <v>155</v>
      </c>
      <c r="H183" t="s">
        <v>48</v>
      </c>
      <c r="I183" t="s">
        <v>738</v>
      </c>
      <c r="J183" t="s">
        <v>50</v>
      </c>
      <c r="K183">
        <v>44.5</v>
      </c>
      <c r="L183">
        <v>10.1</v>
      </c>
      <c r="M183">
        <v>48.8</v>
      </c>
      <c r="N183">
        <v>17892</v>
      </c>
      <c r="O183">
        <v>247757</v>
      </c>
      <c r="P183">
        <v>48.8</v>
      </c>
      <c r="Q183">
        <v>462</v>
      </c>
      <c r="R183">
        <v>53.6</v>
      </c>
      <c r="S183">
        <v>2.5</v>
      </c>
      <c r="T183" t="s">
        <v>77</v>
      </c>
      <c r="U183">
        <v>51244</v>
      </c>
      <c r="V183">
        <v>17</v>
      </c>
      <c r="W183">
        <v>19</v>
      </c>
      <c r="X183">
        <v>3088</v>
      </c>
      <c r="Y183">
        <v>18.399999999999999</v>
      </c>
      <c r="Z183" t="s">
        <v>337</v>
      </c>
      <c r="AA183">
        <v>52</v>
      </c>
      <c r="AB183">
        <v>48</v>
      </c>
      <c r="AC183" t="s">
        <v>53</v>
      </c>
      <c r="AD183">
        <v>39970</v>
      </c>
      <c r="AE183">
        <v>8923</v>
      </c>
      <c r="AF183">
        <v>858.67</v>
      </c>
      <c r="AG183">
        <v>9</v>
      </c>
      <c r="AH183">
        <v>58</v>
      </c>
      <c r="AI183">
        <v>54.703833333333343</v>
      </c>
      <c r="AJ183">
        <v>33.89</v>
      </c>
      <c r="AK183">
        <v>35.92</v>
      </c>
      <c r="AL183">
        <v>20.8</v>
      </c>
      <c r="AM183">
        <v>294</v>
      </c>
      <c r="AN183">
        <v>79.13</v>
      </c>
      <c r="AO183">
        <v>50.72</v>
      </c>
      <c r="AP183">
        <v>18.399999999999999</v>
      </c>
      <c r="AQ183">
        <v>17</v>
      </c>
      <c r="AR183">
        <v>35.6</v>
      </c>
    </row>
    <row r="184" spans="1:44" x14ac:dyDescent="0.3">
      <c r="A184">
        <v>183</v>
      </c>
      <c r="B184" t="s">
        <v>739</v>
      </c>
      <c r="C184">
        <v>2024</v>
      </c>
      <c r="D184">
        <f>295</f>
        <v>295</v>
      </c>
      <c r="E184">
        <v>6</v>
      </c>
      <c r="F184" t="s">
        <v>740</v>
      </c>
      <c r="G184" t="s">
        <v>221</v>
      </c>
      <c r="H184" t="s">
        <v>100</v>
      </c>
      <c r="I184" t="s">
        <v>222</v>
      </c>
      <c r="J184" t="s">
        <v>50</v>
      </c>
      <c r="K184">
        <v>19.399999999999999</v>
      </c>
      <c r="L184">
        <v>12.6</v>
      </c>
      <c r="M184">
        <v>51.9</v>
      </c>
      <c r="N184">
        <v>1075</v>
      </c>
      <c r="O184">
        <v>673</v>
      </c>
      <c r="P184">
        <v>51.9</v>
      </c>
      <c r="Q184">
        <v>165</v>
      </c>
      <c r="R184">
        <v>724</v>
      </c>
      <c r="S184">
        <v>0.68673469387755104</v>
      </c>
      <c r="T184" t="s">
        <v>58</v>
      </c>
      <c r="U184">
        <v>7460</v>
      </c>
      <c r="V184">
        <v>55</v>
      </c>
      <c r="W184">
        <v>60</v>
      </c>
      <c r="X184">
        <v>980</v>
      </c>
      <c r="Y184">
        <v>10.199999999999999</v>
      </c>
      <c r="Z184" t="s">
        <v>741</v>
      </c>
      <c r="AA184">
        <v>64</v>
      </c>
      <c r="AB184">
        <v>36</v>
      </c>
      <c r="AC184" t="s">
        <v>53</v>
      </c>
      <c r="AD184">
        <v>4442</v>
      </c>
      <c r="AE184">
        <v>3186</v>
      </c>
      <c r="AF184">
        <v>274.33</v>
      </c>
      <c r="AG184">
        <v>3</v>
      </c>
      <c r="AH184">
        <v>65</v>
      </c>
      <c r="AI184">
        <v>64.662999999999997</v>
      </c>
      <c r="AJ184">
        <v>57.76</v>
      </c>
      <c r="AK184">
        <v>71.59</v>
      </c>
      <c r="AL184">
        <v>39.909999999999997</v>
      </c>
      <c r="AM184">
        <v>295</v>
      </c>
      <c r="AN184">
        <v>79.06</v>
      </c>
      <c r="AO184">
        <v>320.74</v>
      </c>
      <c r="AP184">
        <v>10.199999999999999</v>
      </c>
      <c r="AQ184">
        <v>55</v>
      </c>
      <c r="AR184">
        <v>35.4</v>
      </c>
    </row>
    <row r="185" spans="1:44" x14ac:dyDescent="0.3">
      <c r="A185">
        <v>184</v>
      </c>
      <c r="B185" t="s">
        <v>742</v>
      </c>
      <c r="C185">
        <v>2024</v>
      </c>
      <c r="D185" t="s">
        <v>743</v>
      </c>
      <c r="E185">
        <v>102</v>
      </c>
      <c r="F185" t="s">
        <v>744</v>
      </c>
      <c r="G185" t="s">
        <v>63</v>
      </c>
      <c r="H185" t="s">
        <v>64</v>
      </c>
      <c r="I185" t="s">
        <v>745</v>
      </c>
      <c r="J185" t="s">
        <v>65</v>
      </c>
      <c r="K185">
        <v>30.3</v>
      </c>
      <c r="L185">
        <v>34.4</v>
      </c>
      <c r="M185">
        <v>18.600000000000001</v>
      </c>
      <c r="N185">
        <v>2535</v>
      </c>
      <c r="O185">
        <v>275</v>
      </c>
      <c r="P185">
        <v>18.600000000000001</v>
      </c>
      <c r="Q185">
        <v>130</v>
      </c>
      <c r="R185">
        <v>427</v>
      </c>
      <c r="S185">
        <v>0.1368840219014435</v>
      </c>
      <c r="T185" t="s">
        <v>77</v>
      </c>
      <c r="U185">
        <v>17508</v>
      </c>
      <c r="V185">
        <v>18</v>
      </c>
      <c r="W185">
        <v>19</v>
      </c>
      <c r="X185">
        <v>2009</v>
      </c>
      <c r="Y185">
        <v>10.1</v>
      </c>
      <c r="Z185" t="s">
        <v>146</v>
      </c>
      <c r="AA185">
        <v>56</v>
      </c>
      <c r="AB185">
        <v>44</v>
      </c>
      <c r="AC185" t="s">
        <v>53</v>
      </c>
      <c r="AD185">
        <v>8405</v>
      </c>
      <c r="AE185">
        <v>8943</v>
      </c>
      <c r="AF185">
        <v>647.61</v>
      </c>
      <c r="AG185">
        <v>98</v>
      </c>
      <c r="AH185">
        <v>2</v>
      </c>
      <c r="AI185">
        <v>56.843244897959181</v>
      </c>
      <c r="AJ185">
        <v>29.74</v>
      </c>
      <c r="AK185">
        <v>38.11</v>
      </c>
      <c r="AL185">
        <v>19.260000000000002</v>
      </c>
      <c r="AM185">
        <v>297</v>
      </c>
      <c r="AN185">
        <v>78.91</v>
      </c>
      <c r="AO185">
        <v>181.96</v>
      </c>
      <c r="AP185">
        <v>10.1</v>
      </c>
      <c r="AQ185">
        <v>18</v>
      </c>
      <c r="AR185">
        <v>35.299999999999997</v>
      </c>
    </row>
    <row r="186" spans="1:44" x14ac:dyDescent="0.3">
      <c r="A186">
        <v>185</v>
      </c>
      <c r="B186" t="s">
        <v>746</v>
      </c>
      <c r="C186">
        <v>2024</v>
      </c>
      <c r="D186" t="s">
        <v>747</v>
      </c>
      <c r="E186">
        <v>14</v>
      </c>
      <c r="F186" t="s">
        <v>748</v>
      </c>
      <c r="G186" t="s">
        <v>114</v>
      </c>
      <c r="H186" t="s">
        <v>64</v>
      </c>
      <c r="I186" t="s">
        <v>749</v>
      </c>
      <c r="J186" t="s">
        <v>50</v>
      </c>
      <c r="K186">
        <v>19.2</v>
      </c>
      <c r="L186">
        <v>18</v>
      </c>
      <c r="M186">
        <v>41.8</v>
      </c>
      <c r="N186">
        <v>4538</v>
      </c>
      <c r="O186">
        <v>200</v>
      </c>
      <c r="P186">
        <v>41.8</v>
      </c>
      <c r="Q186">
        <v>212</v>
      </c>
      <c r="R186">
        <v>308</v>
      </c>
      <c r="S186">
        <v>0.17391304347826081</v>
      </c>
      <c r="T186" t="s">
        <v>96</v>
      </c>
      <c r="U186">
        <v>17314</v>
      </c>
      <c r="V186">
        <v>27</v>
      </c>
      <c r="W186">
        <v>27</v>
      </c>
      <c r="X186">
        <v>1150</v>
      </c>
      <c r="Y186">
        <v>14.7</v>
      </c>
      <c r="Z186" t="s">
        <v>87</v>
      </c>
      <c r="AA186">
        <v>53</v>
      </c>
      <c r="AB186">
        <v>47</v>
      </c>
      <c r="AC186" t="s">
        <v>53</v>
      </c>
      <c r="AD186">
        <v>12537</v>
      </c>
      <c r="AE186">
        <v>5145</v>
      </c>
      <c r="AF186">
        <v>559.59</v>
      </c>
      <c r="AG186">
        <v>23</v>
      </c>
      <c r="AH186">
        <v>21</v>
      </c>
      <c r="AI186">
        <v>55.883456521739127</v>
      </c>
      <c r="AJ186">
        <v>36.42</v>
      </c>
      <c r="AK186">
        <v>48.16</v>
      </c>
      <c r="AL186">
        <v>22.85</v>
      </c>
      <c r="AM186">
        <v>298</v>
      </c>
      <c r="AN186">
        <v>78.84</v>
      </c>
      <c r="AO186">
        <v>148.28</v>
      </c>
      <c r="AP186">
        <v>14.7</v>
      </c>
      <c r="AQ186">
        <v>27</v>
      </c>
      <c r="AR186">
        <v>34.9</v>
      </c>
    </row>
    <row r="187" spans="1:44" x14ac:dyDescent="0.3">
      <c r="A187">
        <v>186</v>
      </c>
      <c r="B187" t="s">
        <v>750</v>
      </c>
      <c r="C187">
        <v>2024</v>
      </c>
      <c r="D187">
        <f>302</f>
        <v>302</v>
      </c>
      <c r="E187">
        <v>10</v>
      </c>
      <c r="F187" t="s">
        <v>751</v>
      </c>
      <c r="G187" t="s">
        <v>63</v>
      </c>
      <c r="H187" t="s">
        <v>64</v>
      </c>
      <c r="I187" t="s">
        <v>752</v>
      </c>
      <c r="J187" t="s">
        <v>50</v>
      </c>
      <c r="K187">
        <v>26.2</v>
      </c>
      <c r="L187">
        <v>40.4</v>
      </c>
      <c r="M187">
        <v>34.799999999999997</v>
      </c>
      <c r="N187">
        <v>13363</v>
      </c>
      <c r="O187">
        <v>133494</v>
      </c>
      <c r="P187">
        <v>34.799999999999997</v>
      </c>
      <c r="Q187">
        <v>376</v>
      </c>
      <c r="R187">
        <v>56.4</v>
      </c>
      <c r="S187">
        <v>7.19</v>
      </c>
      <c r="T187" t="s">
        <v>58</v>
      </c>
      <c r="U187">
        <v>37225</v>
      </c>
      <c r="V187">
        <v>13</v>
      </c>
      <c r="W187">
        <v>13</v>
      </c>
      <c r="X187">
        <v>2.802</v>
      </c>
      <c r="Y187">
        <v>18.600000000000001</v>
      </c>
      <c r="Z187" t="s">
        <v>197</v>
      </c>
      <c r="AA187">
        <v>44</v>
      </c>
      <c r="AB187">
        <v>56</v>
      </c>
      <c r="AC187" t="s">
        <v>53</v>
      </c>
      <c r="AD187">
        <v>28564</v>
      </c>
      <c r="AE187">
        <v>9593</v>
      </c>
      <c r="AF187">
        <v>755.8</v>
      </c>
      <c r="AG187">
        <v>98</v>
      </c>
      <c r="AH187">
        <v>2</v>
      </c>
      <c r="AI187">
        <v>56.843244897959181</v>
      </c>
      <c r="AJ187">
        <v>42.15</v>
      </c>
      <c r="AK187">
        <v>43.47</v>
      </c>
      <c r="AL187">
        <v>9.93</v>
      </c>
      <c r="AM187">
        <v>302</v>
      </c>
      <c r="AN187">
        <v>78.56</v>
      </c>
      <c r="AO187">
        <v>43.44</v>
      </c>
      <c r="AP187">
        <v>18.600000000000001</v>
      </c>
      <c r="AQ187">
        <v>13</v>
      </c>
      <c r="AR187">
        <v>34.5</v>
      </c>
    </row>
    <row r="188" spans="1:44" x14ac:dyDescent="0.3">
      <c r="A188">
        <v>187</v>
      </c>
      <c r="B188" t="s">
        <v>753</v>
      </c>
      <c r="C188">
        <v>2024</v>
      </c>
      <c r="D188">
        <f>304</f>
        <v>304</v>
      </c>
      <c r="E188">
        <v>2</v>
      </c>
      <c r="F188" t="s">
        <v>754</v>
      </c>
      <c r="G188" t="s">
        <v>755</v>
      </c>
      <c r="H188" t="s">
        <v>48</v>
      </c>
      <c r="I188" t="s">
        <v>756</v>
      </c>
      <c r="J188" t="s">
        <v>50</v>
      </c>
      <c r="K188">
        <v>37.299999999999997</v>
      </c>
      <c r="L188">
        <v>47.2</v>
      </c>
      <c r="M188">
        <v>6.2</v>
      </c>
      <c r="N188">
        <v>9629</v>
      </c>
      <c r="O188">
        <v>460</v>
      </c>
      <c r="P188">
        <v>6.2</v>
      </c>
      <c r="Q188">
        <v>143</v>
      </c>
      <c r="R188">
        <v>279</v>
      </c>
      <c r="S188">
        <v>0.11249694301785269</v>
      </c>
      <c r="T188" t="s">
        <v>71</v>
      </c>
      <c r="U188">
        <v>34309</v>
      </c>
      <c r="V188">
        <v>11</v>
      </c>
      <c r="W188">
        <v>13</v>
      </c>
      <c r="X188">
        <v>4089</v>
      </c>
      <c r="Y188">
        <v>8.8000000000000007</v>
      </c>
      <c r="Z188" t="s">
        <v>358</v>
      </c>
      <c r="AA188">
        <v>67</v>
      </c>
      <c r="AB188">
        <v>33</v>
      </c>
      <c r="AC188" t="s">
        <v>53</v>
      </c>
      <c r="AD188">
        <v>25377</v>
      </c>
      <c r="AE188">
        <v>6645</v>
      </c>
      <c r="AF188">
        <v>1260.32</v>
      </c>
      <c r="AG188">
        <v>8</v>
      </c>
      <c r="AH188">
        <v>614</v>
      </c>
      <c r="AI188">
        <v>28.03875</v>
      </c>
      <c r="AJ188">
        <v>23.47</v>
      </c>
      <c r="AK188">
        <v>21.97</v>
      </c>
      <c r="AL188">
        <v>11.88</v>
      </c>
      <c r="AM188">
        <v>304</v>
      </c>
      <c r="AN188">
        <v>78.41</v>
      </c>
      <c r="AO188">
        <v>115.32</v>
      </c>
      <c r="AP188">
        <v>8.8000000000000007</v>
      </c>
      <c r="AQ188">
        <v>11</v>
      </c>
      <c r="AR188">
        <v>34.299999999999997</v>
      </c>
    </row>
    <row r="189" spans="1:44" x14ac:dyDescent="0.3">
      <c r="A189">
        <v>188</v>
      </c>
      <c r="B189" t="s">
        <v>757</v>
      </c>
      <c r="C189">
        <v>2024</v>
      </c>
      <c r="D189">
        <f>304</f>
        <v>304</v>
      </c>
      <c r="E189">
        <v>67</v>
      </c>
      <c r="F189" t="s">
        <v>754</v>
      </c>
      <c r="G189" t="s">
        <v>63</v>
      </c>
      <c r="H189" t="s">
        <v>64</v>
      </c>
      <c r="I189" t="s">
        <v>758</v>
      </c>
      <c r="J189" t="s">
        <v>65</v>
      </c>
      <c r="K189">
        <v>26.5</v>
      </c>
      <c r="L189">
        <v>32.200000000000003</v>
      </c>
      <c r="M189">
        <v>39.1</v>
      </c>
      <c r="N189">
        <v>6951</v>
      </c>
      <c r="O189">
        <v>327</v>
      </c>
      <c r="P189">
        <v>39.1</v>
      </c>
      <c r="Q189">
        <v>172</v>
      </c>
      <c r="R189">
        <v>379</v>
      </c>
      <c r="S189">
        <v>0.21165048543689319</v>
      </c>
      <c r="T189" t="s">
        <v>58</v>
      </c>
      <c r="U189">
        <v>12576</v>
      </c>
      <c r="V189">
        <v>12</v>
      </c>
      <c r="W189">
        <v>14</v>
      </c>
      <c r="X189">
        <v>1545</v>
      </c>
      <c r="Y189">
        <v>10.9</v>
      </c>
      <c r="Z189" t="s">
        <v>72</v>
      </c>
      <c r="AA189">
        <v>47</v>
      </c>
      <c r="AB189">
        <v>53</v>
      </c>
      <c r="AC189" t="s">
        <v>53</v>
      </c>
      <c r="AD189">
        <v>8489</v>
      </c>
      <c r="AE189">
        <v>4292</v>
      </c>
      <c r="AF189">
        <v>647.61</v>
      </c>
      <c r="AG189">
        <v>98</v>
      </c>
      <c r="AH189">
        <v>2</v>
      </c>
      <c r="AI189">
        <v>56.843244897959181</v>
      </c>
      <c r="AJ189">
        <v>29.74</v>
      </c>
      <c r="AK189">
        <v>38.11</v>
      </c>
      <c r="AL189">
        <v>19.260000000000002</v>
      </c>
      <c r="AM189">
        <v>304</v>
      </c>
      <c r="AN189">
        <v>78.41</v>
      </c>
      <c r="AO189">
        <v>175.06</v>
      </c>
      <c r="AP189">
        <v>10.9</v>
      </c>
      <c r="AQ189">
        <v>12</v>
      </c>
      <c r="AR189">
        <v>34.299999999999997</v>
      </c>
    </row>
    <row r="190" spans="1:44" x14ac:dyDescent="0.3">
      <c r="A190">
        <v>189</v>
      </c>
      <c r="B190" t="s">
        <v>759</v>
      </c>
      <c r="C190">
        <v>2024</v>
      </c>
      <c r="D190" t="s">
        <v>760</v>
      </c>
      <c r="E190">
        <v>6</v>
      </c>
      <c r="F190" t="s">
        <v>761</v>
      </c>
      <c r="G190" t="s">
        <v>492</v>
      </c>
      <c r="H190" t="s">
        <v>493</v>
      </c>
      <c r="I190" t="s">
        <v>762</v>
      </c>
      <c r="J190" t="s">
        <v>50</v>
      </c>
      <c r="K190">
        <v>16.2</v>
      </c>
      <c r="L190">
        <v>21.4</v>
      </c>
      <c r="M190">
        <v>20.7</v>
      </c>
      <c r="N190">
        <v>5685</v>
      </c>
      <c r="O190">
        <v>541</v>
      </c>
      <c r="P190">
        <v>20.7</v>
      </c>
      <c r="Q190">
        <v>352</v>
      </c>
      <c r="R190">
        <v>785</v>
      </c>
      <c r="S190">
        <v>286.85047720042422</v>
      </c>
      <c r="T190" t="s">
        <v>51</v>
      </c>
      <c r="U190">
        <v>31721</v>
      </c>
      <c r="V190">
        <v>13</v>
      </c>
      <c r="W190">
        <v>14</v>
      </c>
      <c r="X190">
        <v>1.8859999999999999</v>
      </c>
      <c r="Y190">
        <v>26.5</v>
      </c>
      <c r="Z190" t="s">
        <v>146</v>
      </c>
      <c r="AA190">
        <v>56</v>
      </c>
      <c r="AB190">
        <v>44</v>
      </c>
      <c r="AC190" t="s">
        <v>53</v>
      </c>
      <c r="AD190">
        <v>23007</v>
      </c>
      <c r="AE190">
        <v>9652</v>
      </c>
      <c r="AF190">
        <v>773.03</v>
      </c>
      <c r="AG190">
        <v>8</v>
      </c>
      <c r="AH190">
        <v>167</v>
      </c>
      <c r="AI190">
        <v>43.070812500000002</v>
      </c>
      <c r="AJ190">
        <v>26.92</v>
      </c>
      <c r="AK190">
        <v>35.4</v>
      </c>
      <c r="AL190">
        <v>8.7799999999999994</v>
      </c>
      <c r="AM190">
        <v>306</v>
      </c>
      <c r="AN190">
        <v>78.27</v>
      </c>
      <c r="AO190">
        <v>326.42</v>
      </c>
      <c r="AP190">
        <v>26.5</v>
      </c>
      <c r="AQ190">
        <v>13</v>
      </c>
      <c r="AR190">
        <v>34</v>
      </c>
    </row>
    <row r="191" spans="1:44" x14ac:dyDescent="0.3">
      <c r="A191">
        <v>190</v>
      </c>
      <c r="B191" t="s">
        <v>763</v>
      </c>
      <c r="C191">
        <v>2024</v>
      </c>
      <c r="D191" t="s">
        <v>764</v>
      </c>
      <c r="E191">
        <v>9</v>
      </c>
      <c r="F191" t="s">
        <v>761</v>
      </c>
      <c r="G191" t="s">
        <v>161</v>
      </c>
      <c r="H191" t="s">
        <v>100</v>
      </c>
      <c r="I191" t="s">
        <v>676</v>
      </c>
      <c r="J191" t="s">
        <v>50</v>
      </c>
      <c r="K191">
        <v>10.4</v>
      </c>
      <c r="L191">
        <v>7.5</v>
      </c>
      <c r="M191">
        <v>100</v>
      </c>
      <c r="N191">
        <v>498</v>
      </c>
      <c r="O191">
        <v>10357</v>
      </c>
      <c r="P191">
        <v>100</v>
      </c>
      <c r="Q191">
        <v>108</v>
      </c>
      <c r="R191">
        <v>58.5</v>
      </c>
      <c r="S191">
        <v>4.57</v>
      </c>
      <c r="T191" t="s">
        <v>96</v>
      </c>
      <c r="U191">
        <v>742</v>
      </c>
      <c r="V191">
        <v>4</v>
      </c>
      <c r="W191">
        <v>4</v>
      </c>
      <c r="X191">
        <v>109</v>
      </c>
      <c r="Y191">
        <v>6.3</v>
      </c>
      <c r="Z191" t="s">
        <v>564</v>
      </c>
      <c r="AA191">
        <v>35</v>
      </c>
      <c r="AB191">
        <v>65</v>
      </c>
      <c r="AC191" t="s">
        <v>53</v>
      </c>
      <c r="AD191">
        <v>628</v>
      </c>
      <c r="AE191">
        <v>314</v>
      </c>
      <c r="AF191">
        <v>682.03</v>
      </c>
      <c r="AG191">
        <v>18</v>
      </c>
      <c r="AH191">
        <v>62</v>
      </c>
      <c r="AI191">
        <v>43.175027777777778</v>
      </c>
      <c r="AJ191">
        <v>22.69</v>
      </c>
      <c r="AK191">
        <v>33</v>
      </c>
      <c r="AL191">
        <v>15.2</v>
      </c>
      <c r="AM191">
        <v>307</v>
      </c>
      <c r="AN191">
        <v>78.2</v>
      </c>
      <c r="AO191">
        <v>83.4</v>
      </c>
      <c r="AP191">
        <v>6.3</v>
      </c>
      <c r="AQ191">
        <v>4</v>
      </c>
      <c r="AR191">
        <v>34</v>
      </c>
    </row>
    <row r="192" spans="1:44" x14ac:dyDescent="0.3">
      <c r="A192">
        <v>191</v>
      </c>
      <c r="B192" t="s">
        <v>765</v>
      </c>
      <c r="C192">
        <v>2024</v>
      </c>
      <c r="D192">
        <f>307</f>
        <v>307</v>
      </c>
      <c r="E192">
        <v>40</v>
      </c>
      <c r="F192" t="s">
        <v>766</v>
      </c>
      <c r="G192" t="s">
        <v>47</v>
      </c>
      <c r="H192" t="s">
        <v>48</v>
      </c>
      <c r="I192" t="s">
        <v>767</v>
      </c>
      <c r="J192" t="s">
        <v>50</v>
      </c>
      <c r="K192">
        <v>21</v>
      </c>
      <c r="L192">
        <v>45</v>
      </c>
      <c r="M192">
        <v>27.4</v>
      </c>
      <c r="N192">
        <v>3154</v>
      </c>
      <c r="O192">
        <v>460</v>
      </c>
      <c r="P192">
        <v>27.4</v>
      </c>
      <c r="Q192">
        <v>152</v>
      </c>
      <c r="R192">
        <v>639</v>
      </c>
      <c r="S192">
        <v>0.1398176291793313</v>
      </c>
      <c r="T192" t="s">
        <v>96</v>
      </c>
      <c r="U192">
        <v>18505</v>
      </c>
      <c r="V192">
        <v>21</v>
      </c>
      <c r="W192">
        <v>25</v>
      </c>
      <c r="X192">
        <v>3290</v>
      </c>
      <c r="Y192">
        <v>16.8</v>
      </c>
      <c r="Z192" t="s">
        <v>72</v>
      </c>
      <c r="AA192">
        <v>49</v>
      </c>
      <c r="AB192">
        <v>51</v>
      </c>
      <c r="AC192" t="s">
        <v>53</v>
      </c>
      <c r="AD192">
        <v>12821</v>
      </c>
      <c r="AE192">
        <v>5829</v>
      </c>
      <c r="AF192">
        <v>614.48</v>
      </c>
      <c r="AG192">
        <v>69</v>
      </c>
      <c r="AH192">
        <v>1</v>
      </c>
      <c r="AI192">
        <v>50.817340579710141</v>
      </c>
      <c r="AJ192">
        <v>35.82</v>
      </c>
      <c r="AK192">
        <v>38.92</v>
      </c>
      <c r="AL192">
        <v>35.29</v>
      </c>
      <c r="AM192">
        <v>307</v>
      </c>
      <c r="AN192">
        <v>78.2</v>
      </c>
      <c r="AO192">
        <v>272.04000000000002</v>
      </c>
      <c r="AP192">
        <v>16.8</v>
      </c>
      <c r="AQ192">
        <v>21</v>
      </c>
      <c r="AR192">
        <v>33.9</v>
      </c>
    </row>
    <row r="193" spans="1:44" x14ac:dyDescent="0.3">
      <c r="A193">
        <v>192</v>
      </c>
      <c r="B193" t="s">
        <v>768</v>
      </c>
      <c r="C193">
        <v>2024</v>
      </c>
      <c r="D193">
        <f>307</f>
        <v>307</v>
      </c>
      <c r="E193">
        <v>15</v>
      </c>
      <c r="F193" t="s">
        <v>766</v>
      </c>
      <c r="G193" t="s">
        <v>107</v>
      </c>
      <c r="H193" t="s">
        <v>108</v>
      </c>
      <c r="I193" t="s">
        <v>769</v>
      </c>
      <c r="J193" t="s">
        <v>50</v>
      </c>
      <c r="K193">
        <v>17.2</v>
      </c>
      <c r="L193">
        <v>7.8</v>
      </c>
      <c r="M193">
        <v>58.1</v>
      </c>
      <c r="N193">
        <v>2437</v>
      </c>
      <c r="O193">
        <v>460</v>
      </c>
      <c r="P193">
        <v>58.1</v>
      </c>
      <c r="Q193">
        <v>215</v>
      </c>
      <c r="R193">
        <v>459</v>
      </c>
      <c r="S193">
        <v>0.46843177189409368</v>
      </c>
      <c r="T193" t="s">
        <v>71</v>
      </c>
      <c r="U193">
        <v>16894</v>
      </c>
      <c r="V193">
        <v>31</v>
      </c>
      <c r="W193">
        <v>31</v>
      </c>
      <c r="X193">
        <v>982</v>
      </c>
      <c r="Y193">
        <v>22.5</v>
      </c>
      <c r="Z193" t="s">
        <v>202</v>
      </c>
      <c r="AA193">
        <v>58</v>
      </c>
      <c r="AB193">
        <v>42</v>
      </c>
      <c r="AC193" t="s">
        <v>53</v>
      </c>
      <c r="AD193">
        <v>10241</v>
      </c>
      <c r="AE193">
        <v>3075</v>
      </c>
      <c r="AF193">
        <v>373.87</v>
      </c>
      <c r="AG193">
        <v>21</v>
      </c>
      <c r="AH193">
        <v>54</v>
      </c>
      <c r="AI193">
        <v>57.368190476190478</v>
      </c>
      <c r="AJ193">
        <v>42.18</v>
      </c>
      <c r="AK193">
        <v>66.97</v>
      </c>
      <c r="AL193">
        <v>30.67</v>
      </c>
      <c r="AM193">
        <v>307</v>
      </c>
      <c r="AN193">
        <v>78.2</v>
      </c>
      <c r="AO193">
        <v>218.46</v>
      </c>
      <c r="AP193">
        <v>22.5</v>
      </c>
      <c r="AQ193">
        <v>31</v>
      </c>
      <c r="AR193">
        <v>33.9</v>
      </c>
    </row>
    <row r="194" spans="1:44" x14ac:dyDescent="0.3">
      <c r="A194">
        <v>193</v>
      </c>
      <c r="B194" t="s">
        <v>770</v>
      </c>
      <c r="C194">
        <v>2024</v>
      </c>
      <c r="D194">
        <f>313</f>
        <v>313</v>
      </c>
      <c r="E194">
        <v>4</v>
      </c>
      <c r="F194" t="s">
        <v>771</v>
      </c>
      <c r="G194" t="s">
        <v>330</v>
      </c>
      <c r="H194" t="s">
        <v>48</v>
      </c>
      <c r="I194" t="s">
        <v>772</v>
      </c>
      <c r="J194" t="s">
        <v>50</v>
      </c>
      <c r="K194">
        <v>15.8</v>
      </c>
      <c r="L194">
        <v>17.3</v>
      </c>
      <c r="M194">
        <v>56.9</v>
      </c>
      <c r="N194">
        <v>3357</v>
      </c>
      <c r="O194">
        <v>275</v>
      </c>
      <c r="P194">
        <v>56.9</v>
      </c>
      <c r="Q194">
        <v>190</v>
      </c>
      <c r="R194">
        <v>446</v>
      </c>
      <c r="S194">
        <v>0.3114382785956965</v>
      </c>
      <c r="T194" t="s">
        <v>51</v>
      </c>
      <c r="U194">
        <v>10719</v>
      </c>
      <c r="V194">
        <v>8</v>
      </c>
      <c r="W194">
        <v>10</v>
      </c>
      <c r="X194">
        <v>883</v>
      </c>
      <c r="Y194">
        <v>20.8</v>
      </c>
      <c r="Z194" t="s">
        <v>146</v>
      </c>
      <c r="AA194">
        <v>56</v>
      </c>
      <c r="AB194">
        <v>44</v>
      </c>
      <c r="AC194" t="s">
        <v>53</v>
      </c>
      <c r="AD194">
        <v>8049</v>
      </c>
      <c r="AE194">
        <v>3285</v>
      </c>
      <c r="AF194">
        <v>384.82</v>
      </c>
      <c r="AG194">
        <v>8</v>
      </c>
      <c r="AH194">
        <v>121</v>
      </c>
      <c r="AI194">
        <v>53.541874999999997</v>
      </c>
      <c r="AJ194">
        <v>36.49</v>
      </c>
      <c r="AK194">
        <v>55.81</v>
      </c>
      <c r="AL194">
        <v>13.23</v>
      </c>
      <c r="AM194">
        <v>313</v>
      </c>
      <c r="AN194">
        <v>77.77</v>
      </c>
      <c r="AO194">
        <v>212.54</v>
      </c>
      <c r="AP194">
        <v>20.8</v>
      </c>
      <c r="AQ194">
        <v>8</v>
      </c>
      <c r="AR194">
        <v>33.5</v>
      </c>
    </row>
    <row r="195" spans="1:44" x14ac:dyDescent="0.3">
      <c r="A195">
        <v>194</v>
      </c>
      <c r="B195" t="s">
        <v>773</v>
      </c>
      <c r="C195">
        <v>2024</v>
      </c>
      <c r="D195">
        <f>315</f>
        <v>315</v>
      </c>
      <c r="E195">
        <v>1</v>
      </c>
      <c r="F195" t="s">
        <v>774</v>
      </c>
      <c r="G195" t="s">
        <v>775</v>
      </c>
      <c r="H195" t="s">
        <v>100</v>
      </c>
      <c r="I195" t="s">
        <v>776</v>
      </c>
      <c r="J195" t="s">
        <v>50</v>
      </c>
      <c r="K195">
        <v>15.8</v>
      </c>
      <c r="L195">
        <v>40.299999999999997</v>
      </c>
      <c r="M195">
        <v>97</v>
      </c>
      <c r="N195">
        <v>1795</v>
      </c>
      <c r="O195">
        <v>541</v>
      </c>
      <c r="P195">
        <v>97</v>
      </c>
      <c r="Q195">
        <v>147</v>
      </c>
      <c r="R195">
        <v>643</v>
      </c>
      <c r="S195">
        <v>1.196902654867257</v>
      </c>
      <c r="T195" t="s">
        <v>71</v>
      </c>
      <c r="U195">
        <v>11386</v>
      </c>
      <c r="V195">
        <v>1</v>
      </c>
      <c r="W195">
        <v>2</v>
      </c>
      <c r="X195">
        <v>452</v>
      </c>
      <c r="Y195">
        <v>20.3</v>
      </c>
      <c r="Z195" t="s">
        <v>408</v>
      </c>
      <c r="AA195">
        <v>46</v>
      </c>
      <c r="AB195">
        <v>54</v>
      </c>
      <c r="AC195" t="s">
        <v>53</v>
      </c>
      <c r="AD195">
        <v>9795</v>
      </c>
      <c r="AE195">
        <v>2636</v>
      </c>
      <c r="AF195">
        <v>1036.01</v>
      </c>
      <c r="AG195">
        <v>6</v>
      </c>
      <c r="AH195">
        <v>486</v>
      </c>
      <c r="AI195">
        <v>33.59258333333333</v>
      </c>
      <c r="AJ195">
        <v>26.97</v>
      </c>
      <c r="AK195">
        <v>32.47</v>
      </c>
      <c r="AL195">
        <v>4.6900000000000004</v>
      </c>
      <c r="AM195">
        <v>315</v>
      </c>
      <c r="AN195">
        <v>77.63</v>
      </c>
      <c r="AO195">
        <v>315.39999999999998</v>
      </c>
      <c r="AP195">
        <v>20.3</v>
      </c>
      <c r="AQ195">
        <v>1</v>
      </c>
      <c r="AR195">
        <v>33.4</v>
      </c>
    </row>
    <row r="196" spans="1:44" x14ac:dyDescent="0.3">
      <c r="A196">
        <v>195</v>
      </c>
      <c r="B196" t="s">
        <v>777</v>
      </c>
      <c r="C196">
        <v>2024</v>
      </c>
      <c r="D196">
        <f>315</f>
        <v>315</v>
      </c>
      <c r="E196">
        <v>2</v>
      </c>
      <c r="F196" t="s">
        <v>774</v>
      </c>
      <c r="G196" t="s">
        <v>330</v>
      </c>
      <c r="H196" t="s">
        <v>48</v>
      </c>
      <c r="I196" t="s">
        <v>778</v>
      </c>
      <c r="J196" t="s">
        <v>50</v>
      </c>
      <c r="K196">
        <v>28.3</v>
      </c>
      <c r="L196">
        <v>21.1</v>
      </c>
      <c r="M196">
        <v>32.4</v>
      </c>
      <c r="N196">
        <v>3742</v>
      </c>
      <c r="O196">
        <v>363</v>
      </c>
      <c r="P196">
        <v>32.4</v>
      </c>
      <c r="Q196">
        <v>168</v>
      </c>
      <c r="R196">
        <v>355</v>
      </c>
      <c r="S196">
        <v>0.2411960132890365</v>
      </c>
      <c r="T196" t="s">
        <v>71</v>
      </c>
      <c r="U196">
        <v>13528</v>
      </c>
      <c r="V196">
        <v>6</v>
      </c>
      <c r="W196">
        <v>7</v>
      </c>
      <c r="X196">
        <v>1505</v>
      </c>
      <c r="Y196">
        <v>15.7</v>
      </c>
      <c r="Z196" t="s">
        <v>521</v>
      </c>
      <c r="AA196">
        <v>64</v>
      </c>
      <c r="AB196">
        <v>36</v>
      </c>
      <c r="AC196" t="s">
        <v>53</v>
      </c>
      <c r="AD196">
        <v>10694</v>
      </c>
      <c r="AE196">
        <v>3272</v>
      </c>
      <c r="AF196">
        <v>384.82</v>
      </c>
      <c r="AG196">
        <v>8</v>
      </c>
      <c r="AH196">
        <v>121</v>
      </c>
      <c r="AI196">
        <v>53.541874999999997</v>
      </c>
      <c r="AJ196">
        <v>36.49</v>
      </c>
      <c r="AK196">
        <v>55.81</v>
      </c>
      <c r="AL196">
        <v>13.23</v>
      </c>
      <c r="AM196">
        <v>315</v>
      </c>
      <c r="AN196">
        <v>77.63</v>
      </c>
      <c r="AO196">
        <v>161.44</v>
      </c>
      <c r="AP196">
        <v>15.7</v>
      </c>
      <c r="AQ196">
        <v>6</v>
      </c>
      <c r="AR196">
        <v>33.4</v>
      </c>
    </row>
    <row r="197" spans="1:44" x14ac:dyDescent="0.3">
      <c r="A197">
        <v>196</v>
      </c>
      <c r="B197" t="s">
        <v>779</v>
      </c>
      <c r="C197">
        <v>2024</v>
      </c>
      <c r="D197" t="s">
        <v>780</v>
      </c>
      <c r="E197">
        <v>15</v>
      </c>
      <c r="F197" t="s">
        <v>781</v>
      </c>
      <c r="G197" t="s">
        <v>114</v>
      </c>
      <c r="H197" t="s">
        <v>64</v>
      </c>
      <c r="I197" t="s">
        <v>782</v>
      </c>
      <c r="J197" t="s">
        <v>50</v>
      </c>
      <c r="K197">
        <v>25.5</v>
      </c>
      <c r="L197">
        <v>13.5</v>
      </c>
      <c r="M197">
        <v>42.5</v>
      </c>
      <c r="N197">
        <v>10390</v>
      </c>
      <c r="O197">
        <v>254</v>
      </c>
      <c r="P197">
        <v>42.5</v>
      </c>
      <c r="Q197">
        <v>451</v>
      </c>
      <c r="R197">
        <v>370</v>
      </c>
      <c r="S197">
        <v>0.21290863369656329</v>
      </c>
      <c r="T197" t="s">
        <v>96</v>
      </c>
      <c r="U197">
        <v>27269</v>
      </c>
      <c r="V197">
        <v>31</v>
      </c>
      <c r="W197">
        <v>31</v>
      </c>
      <c r="X197">
        <v>1193</v>
      </c>
      <c r="Y197">
        <v>26.8</v>
      </c>
      <c r="Z197" t="s">
        <v>87</v>
      </c>
      <c r="AA197">
        <v>54</v>
      </c>
      <c r="AB197">
        <v>46</v>
      </c>
      <c r="AC197" t="s">
        <v>53</v>
      </c>
      <c r="AD197">
        <v>14776</v>
      </c>
      <c r="AE197">
        <v>12000</v>
      </c>
      <c r="AF197">
        <v>559.59</v>
      </c>
      <c r="AG197">
        <v>23</v>
      </c>
      <c r="AH197">
        <v>21</v>
      </c>
      <c r="AI197">
        <v>55.883456521739127</v>
      </c>
      <c r="AJ197">
        <v>36.42</v>
      </c>
      <c r="AK197">
        <v>48.16</v>
      </c>
      <c r="AL197">
        <v>22.85</v>
      </c>
      <c r="AM197">
        <v>318</v>
      </c>
      <c r="AN197">
        <v>77.41</v>
      </c>
      <c r="AO197">
        <v>173.5</v>
      </c>
      <c r="AP197">
        <v>26.8</v>
      </c>
      <c r="AQ197">
        <v>31</v>
      </c>
      <c r="AR197">
        <v>33.299999999999997</v>
      </c>
    </row>
    <row r="198" spans="1:44" x14ac:dyDescent="0.3">
      <c r="A198">
        <v>197</v>
      </c>
      <c r="B198" t="s">
        <v>783</v>
      </c>
      <c r="C198">
        <v>2024</v>
      </c>
      <c r="D198">
        <f>319</f>
        <v>319</v>
      </c>
      <c r="E198">
        <v>2</v>
      </c>
      <c r="F198" t="s">
        <v>784</v>
      </c>
      <c r="G198" t="s">
        <v>286</v>
      </c>
      <c r="H198" t="s">
        <v>48</v>
      </c>
      <c r="I198" t="s">
        <v>287</v>
      </c>
      <c r="J198" t="s">
        <v>50</v>
      </c>
      <c r="K198">
        <v>31.3</v>
      </c>
      <c r="L198">
        <v>44.4</v>
      </c>
      <c r="M198">
        <v>1.4</v>
      </c>
      <c r="N198">
        <v>2592</v>
      </c>
      <c r="O198">
        <v>1816</v>
      </c>
      <c r="P198">
        <v>1.4</v>
      </c>
      <c r="Q198">
        <v>44</v>
      </c>
      <c r="R198">
        <v>21.6</v>
      </c>
      <c r="S198">
        <v>2.63</v>
      </c>
      <c r="T198" t="s">
        <v>96</v>
      </c>
      <c r="U198">
        <v>16061</v>
      </c>
      <c r="V198">
        <v>18</v>
      </c>
      <c r="W198">
        <v>20</v>
      </c>
      <c r="X198">
        <v>4349</v>
      </c>
      <c r="Y198">
        <v>6.6</v>
      </c>
      <c r="Z198" t="s">
        <v>78</v>
      </c>
      <c r="AA198">
        <v>45</v>
      </c>
      <c r="AB198">
        <v>55</v>
      </c>
      <c r="AC198" t="s">
        <v>53</v>
      </c>
      <c r="AD198">
        <v>9395</v>
      </c>
      <c r="AE198">
        <v>6228</v>
      </c>
      <c r="AF198">
        <v>1470.93</v>
      </c>
      <c r="AG198">
        <v>24</v>
      </c>
      <c r="AH198">
        <v>95</v>
      </c>
      <c r="AI198">
        <v>29.87127083333333</v>
      </c>
      <c r="AJ198">
        <v>18.23</v>
      </c>
      <c r="AK198">
        <v>14.05</v>
      </c>
      <c r="AL198">
        <v>16.72</v>
      </c>
      <c r="AM198">
        <v>319</v>
      </c>
      <c r="AN198">
        <v>77.34</v>
      </c>
      <c r="AO198">
        <v>9.48</v>
      </c>
      <c r="AP198">
        <v>6.6</v>
      </c>
      <c r="AQ198">
        <v>18</v>
      </c>
      <c r="AR198">
        <v>33.200000000000003</v>
      </c>
    </row>
    <row r="199" spans="1:44" x14ac:dyDescent="0.3">
      <c r="A199">
        <v>198</v>
      </c>
      <c r="B199" t="s">
        <v>785</v>
      </c>
      <c r="C199">
        <v>2024</v>
      </c>
      <c r="D199">
        <f>323</f>
        <v>323</v>
      </c>
      <c r="E199">
        <v>8</v>
      </c>
      <c r="F199" t="s">
        <v>786</v>
      </c>
      <c r="G199" t="s">
        <v>99</v>
      </c>
      <c r="H199" t="s">
        <v>100</v>
      </c>
      <c r="I199" t="s">
        <v>787</v>
      </c>
      <c r="J199" t="s">
        <v>50</v>
      </c>
      <c r="K199">
        <v>36.4</v>
      </c>
      <c r="L199">
        <v>22.3</v>
      </c>
      <c r="M199">
        <v>44.1</v>
      </c>
      <c r="N199">
        <v>18688</v>
      </c>
      <c r="O199">
        <v>200</v>
      </c>
      <c r="P199">
        <v>44.1</v>
      </c>
      <c r="Q199">
        <v>632</v>
      </c>
      <c r="R199">
        <v>71</v>
      </c>
      <c r="S199">
        <v>2.8563267637817701E-2</v>
      </c>
      <c r="T199" t="s">
        <v>96</v>
      </c>
      <c r="U199">
        <v>61453</v>
      </c>
      <c r="V199">
        <v>5</v>
      </c>
      <c r="W199">
        <v>4</v>
      </c>
      <c r="X199">
        <v>7002</v>
      </c>
      <c r="Y199">
        <v>15.2</v>
      </c>
      <c r="Z199" t="s">
        <v>52</v>
      </c>
      <c r="AA199">
        <v>46</v>
      </c>
      <c r="AB199">
        <v>54</v>
      </c>
      <c r="AC199" t="s">
        <v>53</v>
      </c>
      <c r="AD199">
        <v>46225</v>
      </c>
      <c r="AE199">
        <v>19795</v>
      </c>
      <c r="AF199">
        <v>616.32000000000005</v>
      </c>
      <c r="AG199">
        <v>35</v>
      </c>
      <c r="AH199">
        <v>12</v>
      </c>
      <c r="AI199">
        <v>56.538228571428569</v>
      </c>
      <c r="AJ199">
        <v>21.88</v>
      </c>
      <c r="AK199">
        <v>70.61</v>
      </c>
      <c r="AL199">
        <v>14.17</v>
      </c>
      <c r="AM199">
        <v>323</v>
      </c>
      <c r="AN199">
        <v>77.06</v>
      </c>
      <c r="AO199">
        <v>54.86</v>
      </c>
      <c r="AP199">
        <v>15.2</v>
      </c>
      <c r="AQ199">
        <v>5</v>
      </c>
      <c r="AR199">
        <v>32.799999999999997</v>
      </c>
    </row>
    <row r="200" spans="1:44" x14ac:dyDescent="0.3">
      <c r="A200">
        <v>199</v>
      </c>
      <c r="B200" t="s">
        <v>788</v>
      </c>
      <c r="C200">
        <v>2024</v>
      </c>
      <c r="D200">
        <f>323</f>
        <v>323</v>
      </c>
      <c r="E200">
        <v>4</v>
      </c>
      <c r="F200" t="s">
        <v>786</v>
      </c>
      <c r="G200" t="s">
        <v>492</v>
      </c>
      <c r="H200" t="s">
        <v>493</v>
      </c>
      <c r="I200" t="s">
        <v>789</v>
      </c>
      <c r="J200" t="s">
        <v>50</v>
      </c>
      <c r="K200">
        <v>23.6</v>
      </c>
      <c r="L200">
        <v>52.3</v>
      </c>
      <c r="M200">
        <v>20.7</v>
      </c>
      <c r="N200">
        <v>6296</v>
      </c>
      <c r="O200">
        <v>460</v>
      </c>
      <c r="P200">
        <v>20.7</v>
      </c>
      <c r="Q200">
        <v>289</v>
      </c>
      <c r="R200">
        <v>416</v>
      </c>
      <c r="S200">
        <v>285.18288902665842</v>
      </c>
      <c r="T200" t="s">
        <v>96</v>
      </c>
      <c r="U200">
        <v>37315</v>
      </c>
      <c r="V200">
        <v>6</v>
      </c>
      <c r="W200">
        <v>7</v>
      </c>
      <c r="X200">
        <v>1.613</v>
      </c>
      <c r="Y200">
        <v>22.1</v>
      </c>
      <c r="Z200" t="s">
        <v>82</v>
      </c>
      <c r="AA200">
        <v>61</v>
      </c>
      <c r="AB200">
        <v>39</v>
      </c>
      <c r="AC200" t="s">
        <v>53</v>
      </c>
      <c r="AD200">
        <v>24452</v>
      </c>
      <c r="AE200">
        <v>10375</v>
      </c>
      <c r="AF200">
        <v>773.03</v>
      </c>
      <c r="AG200">
        <v>8</v>
      </c>
      <c r="AH200">
        <v>167</v>
      </c>
      <c r="AI200">
        <v>43.070812500000002</v>
      </c>
      <c r="AJ200">
        <v>26.92</v>
      </c>
      <c r="AK200">
        <v>35.4</v>
      </c>
      <c r="AL200">
        <v>8.7799999999999994</v>
      </c>
      <c r="AM200">
        <v>323</v>
      </c>
      <c r="AN200">
        <v>77.06</v>
      </c>
      <c r="AO200">
        <v>178.82</v>
      </c>
      <c r="AP200">
        <v>22.1</v>
      </c>
      <c r="AQ200">
        <v>6</v>
      </c>
      <c r="AR200">
        <v>32.799999999999997</v>
      </c>
    </row>
    <row r="201" spans="1:44" x14ac:dyDescent="0.3">
      <c r="A201">
        <v>200</v>
      </c>
      <c r="B201" t="s">
        <v>790</v>
      </c>
      <c r="C201">
        <v>2024</v>
      </c>
      <c r="D201">
        <f>326</f>
        <v>326</v>
      </c>
      <c r="E201">
        <v>22</v>
      </c>
      <c r="F201" t="s">
        <v>791</v>
      </c>
      <c r="G201" t="s">
        <v>107</v>
      </c>
      <c r="H201" t="s">
        <v>108</v>
      </c>
      <c r="I201" t="s">
        <v>792</v>
      </c>
      <c r="J201" t="s">
        <v>50</v>
      </c>
      <c r="K201">
        <v>22.5</v>
      </c>
      <c r="L201">
        <v>14</v>
      </c>
      <c r="M201">
        <v>32.799999999999997</v>
      </c>
      <c r="N201">
        <v>4047</v>
      </c>
      <c r="O201">
        <v>541</v>
      </c>
      <c r="P201">
        <v>32.799999999999997</v>
      </c>
      <c r="Q201">
        <v>181</v>
      </c>
      <c r="R201">
        <v>564</v>
      </c>
      <c r="S201">
        <v>354.98687664042001</v>
      </c>
      <c r="T201" t="s">
        <v>77</v>
      </c>
      <c r="U201">
        <v>22822</v>
      </c>
      <c r="V201">
        <v>17</v>
      </c>
      <c r="W201">
        <v>18</v>
      </c>
      <c r="X201">
        <v>1.524</v>
      </c>
      <c r="Y201">
        <v>30.2</v>
      </c>
      <c r="Z201" t="s">
        <v>202</v>
      </c>
      <c r="AA201">
        <v>60</v>
      </c>
      <c r="AB201">
        <v>40</v>
      </c>
      <c r="AC201" t="s">
        <v>53</v>
      </c>
      <c r="AD201">
        <v>16080</v>
      </c>
      <c r="AE201">
        <v>5410</v>
      </c>
      <c r="AF201">
        <v>346.2</v>
      </c>
      <c r="AG201">
        <v>21</v>
      </c>
      <c r="AH201">
        <v>54</v>
      </c>
      <c r="AI201">
        <v>57.368190476190478</v>
      </c>
      <c r="AJ201">
        <v>35.979999999999997</v>
      </c>
      <c r="AK201">
        <v>61.48</v>
      </c>
      <c r="AL201">
        <v>26.44</v>
      </c>
      <c r="AM201">
        <v>326</v>
      </c>
      <c r="AN201">
        <v>76.84</v>
      </c>
      <c r="AO201">
        <v>245.28</v>
      </c>
      <c r="AP201">
        <v>30.2</v>
      </c>
      <c r="AQ201">
        <v>17</v>
      </c>
      <c r="AR201">
        <v>32.700000000000003</v>
      </c>
    </row>
    <row r="202" spans="1:44" x14ac:dyDescent="0.3">
      <c r="A202">
        <v>201</v>
      </c>
      <c r="B202" t="s">
        <v>793</v>
      </c>
      <c r="C202">
        <v>2024</v>
      </c>
      <c r="D202">
        <f>328</f>
        <v>328</v>
      </c>
      <c r="E202">
        <v>56</v>
      </c>
      <c r="F202" t="s">
        <v>794</v>
      </c>
      <c r="G202" t="s">
        <v>47</v>
      </c>
      <c r="H202" t="s">
        <v>48</v>
      </c>
      <c r="I202" t="s">
        <v>76</v>
      </c>
      <c r="J202" t="s">
        <v>50</v>
      </c>
      <c r="K202">
        <v>21.4</v>
      </c>
      <c r="L202">
        <v>18.100000000000001</v>
      </c>
      <c r="M202">
        <v>42.2</v>
      </c>
      <c r="N202">
        <v>6238</v>
      </c>
      <c r="O202">
        <v>898</v>
      </c>
      <c r="P202">
        <v>42.2</v>
      </c>
      <c r="Q202">
        <v>158</v>
      </c>
      <c r="R202">
        <v>912</v>
      </c>
      <c r="S202">
        <v>0.92577319587628881</v>
      </c>
      <c r="T202" t="s">
        <v>77</v>
      </c>
      <c r="U202">
        <v>16080</v>
      </c>
      <c r="V202">
        <v>45</v>
      </c>
      <c r="W202">
        <v>46</v>
      </c>
      <c r="X202">
        <v>970</v>
      </c>
      <c r="Y202">
        <v>19.5</v>
      </c>
      <c r="Z202" t="s">
        <v>110</v>
      </c>
      <c r="AA202">
        <v>58</v>
      </c>
      <c r="AB202">
        <v>42</v>
      </c>
      <c r="AC202" t="s">
        <v>53</v>
      </c>
      <c r="AD202">
        <v>13017</v>
      </c>
      <c r="AE202">
        <v>3398</v>
      </c>
      <c r="AF202">
        <v>552.13</v>
      </c>
      <c r="AG202">
        <v>69</v>
      </c>
      <c r="AH202">
        <v>1</v>
      </c>
      <c r="AI202">
        <v>50.817340579710141</v>
      </c>
      <c r="AJ202">
        <v>32.090000000000003</v>
      </c>
      <c r="AK202">
        <v>34.619999999999997</v>
      </c>
      <c r="AL202">
        <v>32.340000000000003</v>
      </c>
      <c r="AM202">
        <v>328</v>
      </c>
      <c r="AN202">
        <v>76.7</v>
      </c>
      <c r="AO202">
        <v>390.12</v>
      </c>
      <c r="AP202">
        <v>19.5</v>
      </c>
      <c r="AQ202">
        <v>45</v>
      </c>
      <c r="AR202">
        <v>32.6</v>
      </c>
    </row>
    <row r="203" spans="1:44" x14ac:dyDescent="0.3">
      <c r="A203">
        <v>202</v>
      </c>
      <c r="B203" t="s">
        <v>795</v>
      </c>
      <c r="C203">
        <v>2024</v>
      </c>
      <c r="D203">
        <f>328</f>
        <v>328</v>
      </c>
      <c r="E203">
        <v>10</v>
      </c>
      <c r="F203" t="s">
        <v>794</v>
      </c>
      <c r="G203" t="s">
        <v>161</v>
      </c>
      <c r="H203" t="s">
        <v>100</v>
      </c>
      <c r="I203" t="s">
        <v>796</v>
      </c>
      <c r="J203" t="s">
        <v>50</v>
      </c>
      <c r="K203">
        <v>17.399999999999999</v>
      </c>
      <c r="L203">
        <v>8.9</v>
      </c>
      <c r="M203">
        <v>100</v>
      </c>
      <c r="N203">
        <v>888</v>
      </c>
      <c r="O203">
        <v>26481</v>
      </c>
      <c r="P203">
        <v>100</v>
      </c>
      <c r="Q203">
        <v>188</v>
      </c>
      <c r="R203">
        <v>60.6</v>
      </c>
      <c r="S203">
        <v>3.04</v>
      </c>
      <c r="T203" t="s">
        <v>71</v>
      </c>
      <c r="U203">
        <v>1795</v>
      </c>
      <c r="V203">
        <v>7</v>
      </c>
      <c r="W203">
        <v>9</v>
      </c>
      <c r="X203">
        <v>180</v>
      </c>
      <c r="Y203">
        <v>9.5</v>
      </c>
      <c r="Z203" t="s">
        <v>797</v>
      </c>
      <c r="AA203">
        <v>30</v>
      </c>
      <c r="AB203">
        <v>70</v>
      </c>
      <c r="AC203" t="s">
        <v>53</v>
      </c>
      <c r="AD203">
        <v>1119</v>
      </c>
      <c r="AE203">
        <v>654</v>
      </c>
      <c r="AF203">
        <v>682.03</v>
      </c>
      <c r="AG203">
        <v>18</v>
      </c>
      <c r="AH203">
        <v>62</v>
      </c>
      <c r="AI203">
        <v>43.175027777777778</v>
      </c>
      <c r="AJ203">
        <v>22.69</v>
      </c>
      <c r="AK203">
        <v>33</v>
      </c>
      <c r="AL203">
        <v>15.2</v>
      </c>
      <c r="AM203">
        <v>328</v>
      </c>
      <c r="AN203">
        <v>76.7</v>
      </c>
      <c r="AO203">
        <v>84.24</v>
      </c>
      <c r="AP203">
        <v>9.5</v>
      </c>
      <c r="AQ203">
        <v>7</v>
      </c>
      <c r="AR203">
        <v>32.6</v>
      </c>
    </row>
    <row r="204" spans="1:44" x14ac:dyDescent="0.3">
      <c r="A204">
        <v>203</v>
      </c>
      <c r="B204" t="s">
        <v>798</v>
      </c>
      <c r="C204">
        <v>2024</v>
      </c>
      <c r="D204">
        <f>332</f>
        <v>332</v>
      </c>
      <c r="E204">
        <v>10</v>
      </c>
      <c r="F204" t="s">
        <v>799</v>
      </c>
      <c r="G204" t="s">
        <v>161</v>
      </c>
      <c r="H204" t="s">
        <v>100</v>
      </c>
      <c r="I204" t="s">
        <v>676</v>
      </c>
      <c r="J204" t="s">
        <v>65</v>
      </c>
      <c r="K204">
        <v>28</v>
      </c>
      <c r="L204">
        <v>41.6</v>
      </c>
      <c r="M204">
        <v>14</v>
      </c>
      <c r="N204">
        <v>4338</v>
      </c>
      <c r="O204">
        <v>460</v>
      </c>
      <c r="P204">
        <v>14</v>
      </c>
      <c r="Q204">
        <v>123</v>
      </c>
      <c r="R204">
        <v>240</v>
      </c>
      <c r="S204">
        <v>0.1339155749636099</v>
      </c>
      <c r="T204" t="s">
        <v>51</v>
      </c>
      <c r="U204">
        <v>20427</v>
      </c>
      <c r="V204">
        <v>30</v>
      </c>
      <c r="W204">
        <v>30</v>
      </c>
      <c r="X204">
        <v>3435</v>
      </c>
      <c r="Y204">
        <v>17.600000000000001</v>
      </c>
      <c r="Z204" t="s">
        <v>116</v>
      </c>
      <c r="AA204">
        <v>54</v>
      </c>
      <c r="AB204">
        <v>46</v>
      </c>
      <c r="AC204" t="s">
        <v>53</v>
      </c>
      <c r="AD204">
        <v>12333</v>
      </c>
      <c r="AE204">
        <v>8030</v>
      </c>
      <c r="AF204">
        <v>682.03</v>
      </c>
      <c r="AG204">
        <v>18</v>
      </c>
      <c r="AH204">
        <v>62</v>
      </c>
      <c r="AI204">
        <v>43.175027777777778</v>
      </c>
      <c r="AJ204">
        <v>22.69</v>
      </c>
      <c r="AK204">
        <v>33</v>
      </c>
      <c r="AL204">
        <v>15.2</v>
      </c>
      <c r="AM204">
        <v>332</v>
      </c>
      <c r="AN204">
        <v>76.41</v>
      </c>
      <c r="AO204">
        <v>104.4</v>
      </c>
      <c r="AP204">
        <v>17.600000000000001</v>
      </c>
      <c r="AQ204">
        <v>30</v>
      </c>
      <c r="AR204">
        <v>32.5</v>
      </c>
    </row>
    <row r="205" spans="1:44" x14ac:dyDescent="0.3">
      <c r="A205">
        <v>204</v>
      </c>
      <c r="B205" t="s">
        <v>800</v>
      </c>
      <c r="C205">
        <v>2024</v>
      </c>
      <c r="D205">
        <f>332</f>
        <v>332</v>
      </c>
      <c r="E205">
        <v>53</v>
      </c>
      <c r="F205" t="s">
        <v>799</v>
      </c>
      <c r="G205" t="s">
        <v>63</v>
      </c>
      <c r="H205" t="s">
        <v>64</v>
      </c>
      <c r="I205" t="s">
        <v>801</v>
      </c>
      <c r="J205" t="s">
        <v>50</v>
      </c>
      <c r="K205">
        <v>18.399999999999999</v>
      </c>
      <c r="L205">
        <v>4.9000000000000004</v>
      </c>
      <c r="M205">
        <v>79.599999999999994</v>
      </c>
      <c r="N205">
        <v>2483</v>
      </c>
      <c r="O205">
        <v>93</v>
      </c>
      <c r="P205">
        <v>79.599999999999994</v>
      </c>
      <c r="Q205">
        <v>208</v>
      </c>
      <c r="R205">
        <v>412</v>
      </c>
      <c r="S205">
        <v>88.995215311004785</v>
      </c>
      <c r="T205" t="s">
        <v>51</v>
      </c>
      <c r="U205">
        <v>19154</v>
      </c>
      <c r="V205">
        <v>12</v>
      </c>
      <c r="W205">
        <v>10</v>
      </c>
      <c r="X205">
        <v>1.0449999999999999</v>
      </c>
      <c r="Y205">
        <v>24.2</v>
      </c>
      <c r="Z205" t="s">
        <v>72</v>
      </c>
      <c r="AA205">
        <v>47</v>
      </c>
      <c r="AB205">
        <v>53</v>
      </c>
      <c r="AC205" t="s">
        <v>53</v>
      </c>
      <c r="AD205">
        <v>15028</v>
      </c>
      <c r="AE205">
        <v>4329</v>
      </c>
      <c r="AF205">
        <v>647.61</v>
      </c>
      <c r="AG205">
        <v>98</v>
      </c>
      <c r="AH205">
        <v>2</v>
      </c>
      <c r="AI205">
        <v>56.843244897959181</v>
      </c>
      <c r="AJ205">
        <v>29.74</v>
      </c>
      <c r="AK205">
        <v>38.11</v>
      </c>
      <c r="AL205">
        <v>19.260000000000002</v>
      </c>
      <c r="AM205">
        <v>332</v>
      </c>
      <c r="AN205">
        <v>76.41</v>
      </c>
      <c r="AO205">
        <v>212.56</v>
      </c>
      <c r="AP205">
        <v>24.2</v>
      </c>
      <c r="AQ205">
        <v>12</v>
      </c>
      <c r="AR205">
        <v>32.5</v>
      </c>
    </row>
    <row r="206" spans="1:44" x14ac:dyDescent="0.3">
      <c r="A206">
        <v>205</v>
      </c>
      <c r="B206" t="s">
        <v>802</v>
      </c>
      <c r="C206">
        <v>2024</v>
      </c>
      <c r="D206" t="s">
        <v>803</v>
      </c>
      <c r="E206">
        <v>4</v>
      </c>
      <c r="F206" t="s">
        <v>804</v>
      </c>
      <c r="G206" t="s">
        <v>805</v>
      </c>
      <c r="H206" t="s">
        <v>100</v>
      </c>
      <c r="I206" t="s">
        <v>806</v>
      </c>
      <c r="J206" t="s">
        <v>50</v>
      </c>
      <c r="K206">
        <v>10.1</v>
      </c>
      <c r="L206">
        <v>43.8</v>
      </c>
      <c r="M206">
        <v>99.1</v>
      </c>
      <c r="N206">
        <v>1017</v>
      </c>
      <c r="O206">
        <v>541</v>
      </c>
      <c r="P206">
        <v>99.1</v>
      </c>
      <c r="Q206">
        <v>190</v>
      </c>
      <c r="R206">
        <v>432</v>
      </c>
      <c r="S206">
        <v>1.0929292929292931</v>
      </c>
      <c r="T206" t="s">
        <v>71</v>
      </c>
      <c r="U206">
        <v>9389</v>
      </c>
      <c r="V206">
        <v>2</v>
      </c>
      <c r="W206">
        <v>1</v>
      </c>
      <c r="X206">
        <v>495</v>
      </c>
      <c r="Y206">
        <v>21.8</v>
      </c>
      <c r="Z206" t="s">
        <v>797</v>
      </c>
      <c r="AA206">
        <v>25</v>
      </c>
      <c r="AB206">
        <v>75</v>
      </c>
      <c r="AC206" t="s">
        <v>53</v>
      </c>
      <c r="AD206">
        <v>8270</v>
      </c>
      <c r="AE206">
        <v>1893</v>
      </c>
      <c r="AF206">
        <v>693.23</v>
      </c>
      <c r="AG206">
        <v>6</v>
      </c>
      <c r="AH206">
        <v>325</v>
      </c>
      <c r="AI206">
        <v>44.607750000000003</v>
      </c>
      <c r="AJ206">
        <v>12.14</v>
      </c>
      <c r="AK206">
        <v>70.150000000000006</v>
      </c>
      <c r="AL206">
        <v>7</v>
      </c>
      <c r="AM206">
        <v>334</v>
      </c>
      <c r="AN206">
        <v>76.27</v>
      </c>
      <c r="AO206">
        <v>232.26</v>
      </c>
      <c r="AP206">
        <v>21.8</v>
      </c>
      <c r="AQ206">
        <v>2</v>
      </c>
      <c r="AR206">
        <v>32.4</v>
      </c>
    </row>
    <row r="207" spans="1:44" x14ac:dyDescent="0.3">
      <c r="A207">
        <v>206</v>
      </c>
      <c r="B207" t="s">
        <v>807</v>
      </c>
      <c r="C207">
        <v>2024</v>
      </c>
      <c r="D207">
        <f>336</f>
        <v>336</v>
      </c>
      <c r="E207">
        <v>5</v>
      </c>
      <c r="F207" t="s">
        <v>808</v>
      </c>
      <c r="G207" t="s">
        <v>324</v>
      </c>
      <c r="H207" t="s">
        <v>48</v>
      </c>
      <c r="I207" t="s">
        <v>809</v>
      </c>
      <c r="J207" t="s">
        <v>50</v>
      </c>
      <c r="K207">
        <v>20</v>
      </c>
      <c r="L207">
        <v>22.2</v>
      </c>
      <c r="M207">
        <v>42.4</v>
      </c>
      <c r="N207">
        <v>5642</v>
      </c>
      <c r="O207">
        <v>327</v>
      </c>
      <c r="P207">
        <v>42.4</v>
      </c>
      <c r="Q207">
        <v>262</v>
      </c>
      <c r="R207">
        <v>486</v>
      </c>
      <c r="S207">
        <v>190.55944055944059</v>
      </c>
      <c r="T207" t="s">
        <v>58</v>
      </c>
      <c r="U207">
        <v>17275</v>
      </c>
      <c r="V207">
        <v>12</v>
      </c>
      <c r="W207">
        <v>13</v>
      </c>
      <c r="X207">
        <v>1.716</v>
      </c>
      <c r="Y207">
        <v>14.9</v>
      </c>
      <c r="Z207" t="s">
        <v>332</v>
      </c>
      <c r="AA207">
        <v>39.270370460000002</v>
      </c>
      <c r="AB207">
        <v>60.729629539999998</v>
      </c>
      <c r="AC207" t="s">
        <v>53</v>
      </c>
      <c r="AD207">
        <v>12240</v>
      </c>
      <c r="AE207">
        <v>3810</v>
      </c>
      <c r="AF207">
        <v>237.83</v>
      </c>
      <c r="AG207">
        <v>4</v>
      </c>
      <c r="AH207">
        <v>103</v>
      </c>
      <c r="AI207">
        <v>63.334375000000001</v>
      </c>
      <c r="AJ207">
        <v>49.09</v>
      </c>
      <c r="AK207">
        <v>65.69</v>
      </c>
      <c r="AL207">
        <v>18</v>
      </c>
      <c r="AM207">
        <v>336</v>
      </c>
      <c r="AN207">
        <v>76.13</v>
      </c>
      <c r="AO207">
        <v>219.84</v>
      </c>
      <c r="AP207">
        <v>14.9</v>
      </c>
      <c r="AQ207">
        <v>12</v>
      </c>
      <c r="AR207">
        <v>32.200000000000003</v>
      </c>
    </row>
    <row r="208" spans="1:44" x14ac:dyDescent="0.3">
      <c r="A208">
        <v>207</v>
      </c>
      <c r="B208" t="s">
        <v>810</v>
      </c>
      <c r="C208">
        <v>2024</v>
      </c>
      <c r="D208">
        <f>336</f>
        <v>336</v>
      </c>
      <c r="E208">
        <v>3</v>
      </c>
      <c r="F208" t="s">
        <v>808</v>
      </c>
      <c r="G208" t="s">
        <v>811</v>
      </c>
      <c r="H208" t="s">
        <v>100</v>
      </c>
      <c r="I208" t="s">
        <v>812</v>
      </c>
      <c r="J208" t="s">
        <v>50</v>
      </c>
      <c r="K208">
        <v>29</v>
      </c>
      <c r="L208">
        <v>63.7</v>
      </c>
      <c r="M208">
        <v>22.2</v>
      </c>
      <c r="N208">
        <v>3091</v>
      </c>
      <c r="O208">
        <v>460</v>
      </c>
      <c r="P208">
        <v>22.2</v>
      </c>
      <c r="Q208">
        <v>160</v>
      </c>
      <c r="R208">
        <v>504</v>
      </c>
      <c r="S208">
        <v>438.51286939942798</v>
      </c>
      <c r="T208" t="s">
        <v>51</v>
      </c>
      <c r="U208">
        <v>16182</v>
      </c>
      <c r="V208">
        <v>12</v>
      </c>
      <c r="W208">
        <v>13</v>
      </c>
      <c r="X208">
        <v>1.0489999999999999</v>
      </c>
      <c r="Y208">
        <v>21.2</v>
      </c>
      <c r="Z208" t="s">
        <v>59</v>
      </c>
      <c r="AA208">
        <v>49</v>
      </c>
      <c r="AB208">
        <v>51</v>
      </c>
      <c r="AC208" t="s">
        <v>53</v>
      </c>
      <c r="AD208">
        <v>10903</v>
      </c>
      <c r="AE208">
        <v>4321</v>
      </c>
      <c r="AF208">
        <v>913.31</v>
      </c>
      <c r="AG208">
        <v>10</v>
      </c>
      <c r="AH208">
        <v>382</v>
      </c>
      <c r="AI208">
        <v>34.574950000000001</v>
      </c>
      <c r="AJ208">
        <v>18.27</v>
      </c>
      <c r="AK208">
        <v>15.63</v>
      </c>
      <c r="AL208">
        <v>16.420000000000002</v>
      </c>
      <c r="AM208">
        <v>336</v>
      </c>
      <c r="AN208">
        <v>76.13</v>
      </c>
      <c r="AO208">
        <v>214.92</v>
      </c>
      <c r="AP208">
        <v>21.2</v>
      </c>
      <c r="AQ208">
        <v>12</v>
      </c>
      <c r="AR208">
        <v>32.200000000000003</v>
      </c>
    </row>
    <row r="209" spans="1:44" x14ac:dyDescent="0.3">
      <c r="A209">
        <v>208</v>
      </c>
      <c r="B209" t="s">
        <v>813</v>
      </c>
      <c r="C209">
        <v>2024</v>
      </c>
      <c r="D209">
        <f>336</f>
        <v>336</v>
      </c>
      <c r="E209">
        <v>45</v>
      </c>
      <c r="F209" t="s">
        <v>808</v>
      </c>
      <c r="G209" t="s">
        <v>47</v>
      </c>
      <c r="H209" t="s">
        <v>48</v>
      </c>
      <c r="I209" t="s">
        <v>814</v>
      </c>
      <c r="J209" t="s">
        <v>50</v>
      </c>
      <c r="K209">
        <v>17</v>
      </c>
      <c r="L209">
        <v>6.7</v>
      </c>
      <c r="M209">
        <v>43.9</v>
      </c>
      <c r="N209">
        <v>2655</v>
      </c>
      <c r="O209">
        <v>673</v>
      </c>
      <c r="P209">
        <v>43.9</v>
      </c>
      <c r="Q209">
        <v>206</v>
      </c>
      <c r="R209">
        <v>706</v>
      </c>
      <c r="S209">
        <v>0.16825000000000001</v>
      </c>
      <c r="T209" t="s">
        <v>71</v>
      </c>
      <c r="U209">
        <v>16515</v>
      </c>
      <c r="V209">
        <v>27</v>
      </c>
      <c r="W209">
        <v>28</v>
      </c>
      <c r="X209">
        <v>4000</v>
      </c>
      <c r="Y209">
        <v>18</v>
      </c>
      <c r="Z209" t="s">
        <v>337</v>
      </c>
      <c r="AA209">
        <v>54</v>
      </c>
      <c r="AB209">
        <v>46</v>
      </c>
      <c r="AC209" t="s">
        <v>53</v>
      </c>
      <c r="AD209">
        <v>12488</v>
      </c>
      <c r="AE209">
        <v>3192</v>
      </c>
      <c r="AF209">
        <v>614.48</v>
      </c>
      <c r="AG209">
        <v>69</v>
      </c>
      <c r="AH209">
        <v>1</v>
      </c>
      <c r="AI209">
        <v>50.817340579710141</v>
      </c>
      <c r="AJ209">
        <v>35.82</v>
      </c>
      <c r="AK209">
        <v>38.92</v>
      </c>
      <c r="AL209">
        <v>35.29</v>
      </c>
      <c r="AM209">
        <v>336</v>
      </c>
      <c r="AN209">
        <v>76.13</v>
      </c>
      <c r="AO209">
        <v>308.74</v>
      </c>
      <c r="AP209">
        <v>18</v>
      </c>
      <c r="AQ209">
        <v>27</v>
      </c>
      <c r="AR209">
        <v>32.200000000000003</v>
      </c>
    </row>
    <row r="210" spans="1:44" x14ac:dyDescent="0.3">
      <c r="A210">
        <v>209</v>
      </c>
      <c r="B210" t="s">
        <v>815</v>
      </c>
      <c r="C210">
        <v>2024</v>
      </c>
      <c r="D210">
        <f>340</f>
        <v>340</v>
      </c>
      <c r="E210">
        <v>37</v>
      </c>
      <c r="F210" t="s">
        <v>816</v>
      </c>
      <c r="G210" t="s">
        <v>99</v>
      </c>
      <c r="H210" t="s">
        <v>100</v>
      </c>
      <c r="I210" t="s">
        <v>101</v>
      </c>
      <c r="J210" t="s">
        <v>50</v>
      </c>
      <c r="K210">
        <v>22.7</v>
      </c>
      <c r="L210">
        <v>18.100000000000001</v>
      </c>
      <c r="M210">
        <v>76.400000000000006</v>
      </c>
      <c r="N210">
        <v>11500</v>
      </c>
      <c r="O210">
        <v>673</v>
      </c>
      <c r="P210">
        <v>76.400000000000006</v>
      </c>
      <c r="Q210">
        <v>457</v>
      </c>
      <c r="R210">
        <v>309</v>
      </c>
      <c r="S210">
        <v>239.4165777303451</v>
      </c>
      <c r="T210" t="s">
        <v>51</v>
      </c>
      <c r="U210">
        <v>34050</v>
      </c>
      <c r="V210">
        <v>8</v>
      </c>
      <c r="W210">
        <v>12</v>
      </c>
      <c r="X210">
        <v>2.8109999999999999</v>
      </c>
      <c r="Y210">
        <v>13.4</v>
      </c>
      <c r="Z210" t="s">
        <v>457</v>
      </c>
      <c r="AA210">
        <v>56.98365493</v>
      </c>
      <c r="AB210">
        <v>43.01634507</v>
      </c>
      <c r="AC210" t="s">
        <v>53</v>
      </c>
      <c r="AD210">
        <v>19375</v>
      </c>
      <c r="AE210">
        <v>14249</v>
      </c>
      <c r="AF210">
        <v>616.32000000000005</v>
      </c>
      <c r="AG210">
        <v>35</v>
      </c>
      <c r="AH210">
        <v>12</v>
      </c>
      <c r="AI210">
        <v>56.538228571428569</v>
      </c>
      <c r="AJ210">
        <v>21.88</v>
      </c>
      <c r="AK210">
        <v>70.61</v>
      </c>
      <c r="AL210">
        <v>14.17</v>
      </c>
      <c r="AM210">
        <v>340</v>
      </c>
      <c r="AN210">
        <v>75.84</v>
      </c>
      <c r="AO210">
        <v>169.44</v>
      </c>
      <c r="AP210">
        <v>13.4</v>
      </c>
      <c r="AQ210">
        <v>8</v>
      </c>
      <c r="AR210">
        <v>32.1</v>
      </c>
    </row>
    <row r="211" spans="1:44" x14ac:dyDescent="0.3">
      <c r="A211">
        <v>210</v>
      </c>
      <c r="B211" t="s">
        <v>817</v>
      </c>
      <c r="C211">
        <v>2024</v>
      </c>
      <c r="D211">
        <f>340</f>
        <v>340</v>
      </c>
      <c r="E211">
        <v>106</v>
      </c>
      <c r="F211" t="s">
        <v>816</v>
      </c>
      <c r="G211" t="s">
        <v>63</v>
      </c>
      <c r="H211" t="s">
        <v>64</v>
      </c>
      <c r="I211" t="s">
        <v>818</v>
      </c>
      <c r="J211" t="s">
        <v>65</v>
      </c>
      <c r="K211">
        <v>26.9</v>
      </c>
      <c r="L211">
        <v>24.5</v>
      </c>
      <c r="M211">
        <v>29.3</v>
      </c>
      <c r="N211">
        <v>2954</v>
      </c>
      <c r="O211">
        <v>405</v>
      </c>
      <c r="P211">
        <v>29.3</v>
      </c>
      <c r="Q211">
        <v>202</v>
      </c>
      <c r="R211">
        <v>352</v>
      </c>
      <c r="S211">
        <v>200.8928571428572</v>
      </c>
      <c r="T211" t="s">
        <v>71</v>
      </c>
      <c r="U211">
        <v>22211</v>
      </c>
      <c r="V211">
        <v>14</v>
      </c>
      <c r="W211">
        <v>19</v>
      </c>
      <c r="X211">
        <v>2.016</v>
      </c>
      <c r="Y211">
        <v>13</v>
      </c>
      <c r="Z211" t="s">
        <v>326</v>
      </c>
      <c r="AA211">
        <v>61</v>
      </c>
      <c r="AB211">
        <v>39</v>
      </c>
      <c r="AC211" t="s">
        <v>53</v>
      </c>
      <c r="AD211">
        <v>12445</v>
      </c>
      <c r="AE211">
        <v>9311</v>
      </c>
      <c r="AF211">
        <v>647.61</v>
      </c>
      <c r="AG211">
        <v>98</v>
      </c>
      <c r="AH211">
        <v>2</v>
      </c>
      <c r="AI211">
        <v>56.843244897959181</v>
      </c>
      <c r="AJ211">
        <v>29.74</v>
      </c>
      <c r="AK211">
        <v>38.11</v>
      </c>
      <c r="AL211">
        <v>19.260000000000002</v>
      </c>
      <c r="AM211">
        <v>340</v>
      </c>
      <c r="AN211">
        <v>75.84</v>
      </c>
      <c r="AO211">
        <v>158.38</v>
      </c>
      <c r="AP211">
        <v>13</v>
      </c>
      <c r="AQ211">
        <v>14</v>
      </c>
      <c r="AR211">
        <v>32.1</v>
      </c>
    </row>
    <row r="212" spans="1:44" x14ac:dyDescent="0.3">
      <c r="A212">
        <v>211</v>
      </c>
      <c r="B212" t="s">
        <v>819</v>
      </c>
      <c r="C212">
        <v>2024</v>
      </c>
      <c r="D212" t="s">
        <v>820</v>
      </c>
      <c r="E212">
        <v>3</v>
      </c>
      <c r="F212" t="s">
        <v>821</v>
      </c>
      <c r="G212" t="s">
        <v>286</v>
      </c>
      <c r="H212" t="s">
        <v>48</v>
      </c>
      <c r="I212" t="s">
        <v>287</v>
      </c>
      <c r="J212" t="s">
        <v>50</v>
      </c>
      <c r="K212">
        <v>22.4</v>
      </c>
      <c r="L212">
        <v>45</v>
      </c>
      <c r="M212">
        <v>2</v>
      </c>
      <c r="N212">
        <v>10938</v>
      </c>
      <c r="O212">
        <v>7236</v>
      </c>
      <c r="P212">
        <v>2</v>
      </c>
      <c r="Q212">
        <v>86</v>
      </c>
      <c r="R212">
        <v>16.2</v>
      </c>
      <c r="S212">
        <v>5.97</v>
      </c>
      <c r="T212" t="s">
        <v>51</v>
      </c>
      <c r="U212">
        <v>22866</v>
      </c>
      <c r="V212">
        <v>32</v>
      </c>
      <c r="W212">
        <v>34</v>
      </c>
      <c r="X212">
        <v>3890</v>
      </c>
      <c r="Y212">
        <v>15.6</v>
      </c>
      <c r="Z212" t="s">
        <v>82</v>
      </c>
      <c r="AA212">
        <v>59</v>
      </c>
      <c r="AB212">
        <v>41</v>
      </c>
      <c r="AC212" t="s">
        <v>53</v>
      </c>
      <c r="AD212">
        <v>22005</v>
      </c>
      <c r="AE212">
        <v>5298</v>
      </c>
      <c r="AF212">
        <v>1470.93</v>
      </c>
      <c r="AG212">
        <v>24</v>
      </c>
      <c r="AH212">
        <v>95</v>
      </c>
      <c r="AI212">
        <v>29.87127083333333</v>
      </c>
      <c r="AJ212">
        <v>18.23</v>
      </c>
      <c r="AK212">
        <v>14.05</v>
      </c>
      <c r="AL212">
        <v>16.72</v>
      </c>
      <c r="AM212">
        <v>342</v>
      </c>
      <c r="AN212">
        <v>75.7</v>
      </c>
      <c r="AO212">
        <v>7.68</v>
      </c>
      <c r="AP212">
        <v>15.6</v>
      </c>
      <c r="AQ212">
        <v>32</v>
      </c>
      <c r="AR212">
        <v>32</v>
      </c>
    </row>
    <row r="213" spans="1:44" x14ac:dyDescent="0.3">
      <c r="A213">
        <v>212</v>
      </c>
      <c r="B213" t="s">
        <v>822</v>
      </c>
      <c r="C213">
        <v>2024</v>
      </c>
      <c r="D213" t="s">
        <v>823</v>
      </c>
      <c r="E213">
        <v>46</v>
      </c>
      <c r="F213" t="s">
        <v>824</v>
      </c>
      <c r="G213" t="s">
        <v>47</v>
      </c>
      <c r="H213" t="s">
        <v>48</v>
      </c>
      <c r="I213" t="s">
        <v>47</v>
      </c>
      <c r="J213" t="s">
        <v>50</v>
      </c>
      <c r="K213">
        <v>11.3</v>
      </c>
      <c r="L213">
        <v>13.3</v>
      </c>
      <c r="M213">
        <v>44.2</v>
      </c>
      <c r="N213">
        <v>4967</v>
      </c>
      <c r="O213">
        <v>673</v>
      </c>
      <c r="P213">
        <v>44.2</v>
      </c>
      <c r="Q213">
        <v>188</v>
      </c>
      <c r="R213">
        <v>654</v>
      </c>
      <c r="S213">
        <v>0.78255813953488373</v>
      </c>
      <c r="T213" t="s">
        <v>58</v>
      </c>
      <c r="U213">
        <v>14130</v>
      </c>
      <c r="V213">
        <v>40</v>
      </c>
      <c r="W213">
        <v>13.658864510000001</v>
      </c>
      <c r="X213">
        <v>860</v>
      </c>
      <c r="Y213">
        <v>17.899999999999999</v>
      </c>
      <c r="Z213" t="s">
        <v>72</v>
      </c>
      <c r="AA213">
        <v>46.86128978</v>
      </c>
      <c r="AB213">
        <v>53.13871022</v>
      </c>
      <c r="AC213" t="s">
        <v>53</v>
      </c>
      <c r="AD213">
        <v>14739</v>
      </c>
      <c r="AE213">
        <v>10288</v>
      </c>
      <c r="AF213">
        <v>552.13</v>
      </c>
      <c r="AG213">
        <v>69</v>
      </c>
      <c r="AH213">
        <v>1</v>
      </c>
      <c r="AI213">
        <v>50.817340579710141</v>
      </c>
      <c r="AJ213">
        <v>32.090000000000003</v>
      </c>
      <c r="AK213">
        <v>34.619999999999997</v>
      </c>
      <c r="AL213">
        <v>32.340000000000003</v>
      </c>
      <c r="AM213">
        <v>343</v>
      </c>
      <c r="AN213">
        <v>75.63</v>
      </c>
      <c r="AO213">
        <v>288.12</v>
      </c>
      <c r="AP213">
        <v>17.899999999999999</v>
      </c>
      <c r="AQ213">
        <v>40</v>
      </c>
      <c r="AR213">
        <v>31.9</v>
      </c>
    </row>
    <row r="214" spans="1:44" x14ac:dyDescent="0.3">
      <c r="A214">
        <v>213</v>
      </c>
      <c r="B214" t="s">
        <v>825</v>
      </c>
      <c r="C214">
        <v>2024</v>
      </c>
      <c r="D214" t="s">
        <v>826</v>
      </c>
      <c r="E214">
        <v>6</v>
      </c>
      <c r="F214" t="s">
        <v>827</v>
      </c>
      <c r="G214" t="s">
        <v>653</v>
      </c>
      <c r="H214" t="s">
        <v>48</v>
      </c>
      <c r="I214" t="s">
        <v>828</v>
      </c>
      <c r="J214" t="s">
        <v>50</v>
      </c>
      <c r="K214">
        <v>13.4</v>
      </c>
      <c r="L214">
        <v>6.6</v>
      </c>
      <c r="M214">
        <v>84.3</v>
      </c>
      <c r="N214">
        <v>2196</v>
      </c>
      <c r="O214">
        <v>898</v>
      </c>
      <c r="P214">
        <v>84.3</v>
      </c>
      <c r="Q214">
        <v>262</v>
      </c>
      <c r="R214">
        <v>413</v>
      </c>
      <c r="S214">
        <v>641.42857142857144</v>
      </c>
      <c r="T214" t="s">
        <v>96</v>
      </c>
      <c r="U214">
        <v>13563</v>
      </c>
      <c r="V214">
        <v>11</v>
      </c>
      <c r="W214">
        <v>11</v>
      </c>
      <c r="X214">
        <v>1.4</v>
      </c>
      <c r="Y214">
        <v>16.3</v>
      </c>
      <c r="Z214" t="s">
        <v>87</v>
      </c>
      <c r="AA214">
        <v>54</v>
      </c>
      <c r="AB214">
        <v>46</v>
      </c>
      <c r="AC214" t="s">
        <v>53</v>
      </c>
      <c r="AD214">
        <v>8826</v>
      </c>
      <c r="AE214">
        <v>5269</v>
      </c>
      <c r="AF214">
        <v>912.98</v>
      </c>
      <c r="AG214">
        <v>4</v>
      </c>
      <c r="AH214">
        <v>436</v>
      </c>
      <c r="AI214">
        <v>43.513750000000002</v>
      </c>
      <c r="AJ214">
        <v>30.85</v>
      </c>
      <c r="AK214">
        <v>40.03</v>
      </c>
      <c r="AL214">
        <v>19.28</v>
      </c>
      <c r="AM214">
        <v>344</v>
      </c>
      <c r="AN214">
        <v>75.55</v>
      </c>
      <c r="AO214">
        <v>215.78</v>
      </c>
      <c r="AP214">
        <v>16.3</v>
      </c>
      <c r="AQ214">
        <v>11</v>
      </c>
      <c r="AR214">
        <v>31.6</v>
      </c>
    </row>
    <row r="215" spans="1:44" x14ac:dyDescent="0.3">
      <c r="A215">
        <v>214</v>
      </c>
      <c r="B215" t="s">
        <v>829</v>
      </c>
      <c r="C215">
        <v>2024</v>
      </c>
      <c r="D215">
        <f>345</f>
        <v>345</v>
      </c>
      <c r="E215">
        <v>19</v>
      </c>
      <c r="F215" t="s">
        <v>830</v>
      </c>
      <c r="G215" t="s">
        <v>114</v>
      </c>
      <c r="H215" t="s">
        <v>64</v>
      </c>
      <c r="I215" t="s">
        <v>831</v>
      </c>
      <c r="J215" t="s">
        <v>50</v>
      </c>
      <c r="K215">
        <v>12</v>
      </c>
      <c r="L215">
        <v>6.8</v>
      </c>
      <c r="M215">
        <v>54.3</v>
      </c>
      <c r="N215">
        <v>3438</v>
      </c>
      <c r="O215">
        <v>460</v>
      </c>
      <c r="P215">
        <v>54.3</v>
      </c>
      <c r="Q215">
        <v>277</v>
      </c>
      <c r="R215">
        <v>338</v>
      </c>
      <c r="S215">
        <v>325.08833922261482</v>
      </c>
      <c r="T215" t="s">
        <v>58</v>
      </c>
      <c r="U215">
        <v>17924</v>
      </c>
      <c r="V215">
        <v>21</v>
      </c>
      <c r="W215">
        <v>22</v>
      </c>
      <c r="X215">
        <v>1.415</v>
      </c>
      <c r="Y215">
        <v>18.100000000000001</v>
      </c>
      <c r="Z215" t="s">
        <v>116</v>
      </c>
      <c r="AA215">
        <v>55</v>
      </c>
      <c r="AB215">
        <v>45</v>
      </c>
      <c r="AC215" t="s">
        <v>53</v>
      </c>
      <c r="AD215">
        <v>13525</v>
      </c>
      <c r="AE215">
        <v>4758</v>
      </c>
      <c r="AF215">
        <v>559.59</v>
      </c>
      <c r="AG215">
        <v>23</v>
      </c>
      <c r="AH215">
        <v>21</v>
      </c>
      <c r="AI215">
        <v>55.883456521739127</v>
      </c>
      <c r="AJ215">
        <v>36.42</v>
      </c>
      <c r="AK215">
        <v>48.16</v>
      </c>
      <c r="AL215">
        <v>22.85</v>
      </c>
      <c r="AM215">
        <v>345</v>
      </c>
      <c r="AN215">
        <v>75.48</v>
      </c>
      <c r="AO215">
        <v>167.78</v>
      </c>
      <c r="AP215">
        <v>18.100000000000001</v>
      </c>
      <c r="AQ215">
        <v>21</v>
      </c>
      <c r="AR215">
        <v>31.5</v>
      </c>
    </row>
    <row r="216" spans="1:44" x14ac:dyDescent="0.3">
      <c r="A216">
        <v>215</v>
      </c>
      <c r="B216" t="s">
        <v>832</v>
      </c>
      <c r="C216">
        <v>2024</v>
      </c>
      <c r="D216">
        <f>347</f>
        <v>347</v>
      </c>
      <c r="E216">
        <v>4</v>
      </c>
      <c r="F216" t="s">
        <v>833</v>
      </c>
      <c r="G216" t="s">
        <v>834</v>
      </c>
      <c r="H216" t="s">
        <v>48</v>
      </c>
      <c r="I216" t="s">
        <v>835</v>
      </c>
      <c r="J216" t="s">
        <v>50</v>
      </c>
      <c r="K216">
        <v>20.5</v>
      </c>
      <c r="L216">
        <v>42.7</v>
      </c>
      <c r="M216">
        <v>72.3</v>
      </c>
      <c r="N216">
        <v>3751</v>
      </c>
      <c r="O216">
        <v>460</v>
      </c>
      <c r="P216">
        <v>72.3</v>
      </c>
      <c r="Q216">
        <v>207</v>
      </c>
      <c r="R216">
        <v>551</v>
      </c>
      <c r="S216">
        <v>0.66763425253991293</v>
      </c>
      <c r="T216" t="s">
        <v>71</v>
      </c>
      <c r="U216">
        <v>13532</v>
      </c>
      <c r="V216">
        <v>6</v>
      </c>
      <c r="W216">
        <v>5</v>
      </c>
      <c r="X216">
        <v>689</v>
      </c>
      <c r="Y216">
        <v>20.3</v>
      </c>
      <c r="Z216" t="s">
        <v>152</v>
      </c>
      <c r="AA216">
        <v>35</v>
      </c>
      <c r="AB216">
        <v>65</v>
      </c>
      <c r="AC216" t="s">
        <v>53</v>
      </c>
      <c r="AD216">
        <v>10827</v>
      </c>
      <c r="AE216">
        <v>2312</v>
      </c>
      <c r="AF216">
        <v>1152.18</v>
      </c>
      <c r="AG216">
        <v>8</v>
      </c>
      <c r="AH216">
        <v>521</v>
      </c>
      <c r="AI216">
        <v>35.509249999999987</v>
      </c>
      <c r="AJ216">
        <v>26.59</v>
      </c>
      <c r="AK216">
        <v>34.58</v>
      </c>
      <c r="AL216">
        <v>5.27</v>
      </c>
      <c r="AM216">
        <v>347</v>
      </c>
      <c r="AN216">
        <v>75.34</v>
      </c>
      <c r="AO216">
        <v>263.77999999999997</v>
      </c>
      <c r="AP216">
        <v>20.3</v>
      </c>
      <c r="AQ216">
        <v>6</v>
      </c>
      <c r="AR216">
        <v>31.4</v>
      </c>
    </row>
    <row r="217" spans="1:44" x14ac:dyDescent="0.3">
      <c r="A217">
        <v>216</v>
      </c>
      <c r="B217" t="s">
        <v>836</v>
      </c>
      <c r="C217">
        <v>2024</v>
      </c>
      <c r="D217">
        <f>349</f>
        <v>349</v>
      </c>
      <c r="E217">
        <v>9</v>
      </c>
      <c r="F217" t="s">
        <v>837</v>
      </c>
      <c r="G217" t="s">
        <v>384</v>
      </c>
      <c r="H217" t="s">
        <v>48</v>
      </c>
      <c r="I217" t="s">
        <v>838</v>
      </c>
      <c r="J217" t="s">
        <v>50</v>
      </c>
      <c r="K217">
        <v>40.4</v>
      </c>
      <c r="L217">
        <v>12.7</v>
      </c>
      <c r="M217">
        <v>41.1</v>
      </c>
      <c r="N217">
        <v>6631</v>
      </c>
      <c r="O217">
        <v>222</v>
      </c>
      <c r="P217">
        <v>41.1</v>
      </c>
      <c r="Q217">
        <v>263</v>
      </c>
      <c r="R217">
        <v>228</v>
      </c>
      <c r="S217">
        <v>123.6080178173719</v>
      </c>
      <c r="T217" t="s">
        <v>96</v>
      </c>
      <c r="U217">
        <v>31567</v>
      </c>
      <c r="V217">
        <v>5</v>
      </c>
      <c r="W217">
        <v>7</v>
      </c>
      <c r="X217">
        <v>1.796</v>
      </c>
      <c r="Y217">
        <v>20.9</v>
      </c>
      <c r="Z217" t="s">
        <v>185</v>
      </c>
      <c r="AA217">
        <v>52</v>
      </c>
      <c r="AB217">
        <v>48</v>
      </c>
      <c r="AC217" t="s">
        <v>53</v>
      </c>
      <c r="AD217">
        <v>21519</v>
      </c>
      <c r="AE217">
        <v>8315</v>
      </c>
      <c r="AF217">
        <v>644.77</v>
      </c>
      <c r="AG217">
        <v>18</v>
      </c>
      <c r="AH217">
        <v>181</v>
      </c>
      <c r="AI217">
        <v>47.393000000000001</v>
      </c>
      <c r="AJ217">
        <v>35.17</v>
      </c>
      <c r="AK217">
        <v>47.49</v>
      </c>
      <c r="AL217">
        <v>13.04</v>
      </c>
      <c r="AM217">
        <v>349</v>
      </c>
      <c r="AN217">
        <v>75.2</v>
      </c>
      <c r="AO217">
        <v>115.86</v>
      </c>
      <c r="AP217">
        <v>20.9</v>
      </c>
      <c r="AQ217">
        <v>5</v>
      </c>
      <c r="AR217">
        <v>31.3</v>
      </c>
    </row>
    <row r="218" spans="1:44" x14ac:dyDescent="0.3">
      <c r="A218">
        <v>217</v>
      </c>
      <c r="B218" t="s">
        <v>839</v>
      </c>
      <c r="C218">
        <v>2024</v>
      </c>
      <c r="D218">
        <f>351</f>
        <v>351</v>
      </c>
      <c r="E218">
        <v>6</v>
      </c>
      <c r="F218" t="s">
        <v>840</v>
      </c>
      <c r="G218" t="s">
        <v>330</v>
      </c>
      <c r="H218" t="s">
        <v>48</v>
      </c>
      <c r="I218" t="s">
        <v>841</v>
      </c>
      <c r="J218" t="s">
        <v>50</v>
      </c>
      <c r="K218">
        <v>6.9</v>
      </c>
      <c r="L218">
        <v>13.3</v>
      </c>
      <c r="M218">
        <v>97.7</v>
      </c>
      <c r="N218">
        <v>1486</v>
      </c>
      <c r="O218">
        <v>72664</v>
      </c>
      <c r="P218">
        <v>97.7</v>
      </c>
      <c r="Q218">
        <v>295</v>
      </c>
      <c r="R218">
        <v>52.3</v>
      </c>
      <c r="S218">
        <v>1.98</v>
      </c>
      <c r="T218" t="s">
        <v>71</v>
      </c>
      <c r="U218">
        <v>5028</v>
      </c>
      <c r="V218">
        <v>14</v>
      </c>
      <c r="W218">
        <v>20.209458999999999</v>
      </c>
      <c r="X218">
        <v>298</v>
      </c>
      <c r="Y218">
        <v>31.6</v>
      </c>
      <c r="Z218" t="s">
        <v>306</v>
      </c>
      <c r="AA218">
        <v>59.3570007</v>
      </c>
      <c r="AB218">
        <v>40.6429993</v>
      </c>
      <c r="AC218" t="s">
        <v>53</v>
      </c>
      <c r="AD218">
        <v>12647</v>
      </c>
      <c r="AE218">
        <v>3435</v>
      </c>
      <c r="AF218">
        <v>384.82</v>
      </c>
      <c r="AG218">
        <v>8</v>
      </c>
      <c r="AH218">
        <v>121</v>
      </c>
      <c r="AI218">
        <v>53.541874999999997</v>
      </c>
      <c r="AJ218">
        <v>36.49</v>
      </c>
      <c r="AK218">
        <v>55.81</v>
      </c>
      <c r="AL218">
        <v>13.23</v>
      </c>
      <c r="AM218">
        <v>351</v>
      </c>
      <c r="AN218">
        <v>75.05</v>
      </c>
      <c r="AO218">
        <v>79.540000000000006</v>
      </c>
      <c r="AP218">
        <v>31.6</v>
      </c>
      <c r="AQ218">
        <v>14</v>
      </c>
      <c r="AR218">
        <v>31.2</v>
      </c>
    </row>
    <row r="219" spans="1:44" x14ac:dyDescent="0.3">
      <c r="A219">
        <v>218</v>
      </c>
      <c r="B219" t="s">
        <v>842</v>
      </c>
      <c r="C219">
        <v>2024</v>
      </c>
      <c r="D219">
        <f>351</f>
        <v>351</v>
      </c>
      <c r="E219">
        <v>3</v>
      </c>
      <c r="F219" t="s">
        <v>840</v>
      </c>
      <c r="G219" t="s">
        <v>653</v>
      </c>
      <c r="H219" t="s">
        <v>48</v>
      </c>
      <c r="I219" t="s">
        <v>843</v>
      </c>
      <c r="J219" t="s">
        <v>50</v>
      </c>
      <c r="K219">
        <v>28.9</v>
      </c>
      <c r="L219">
        <v>13.1</v>
      </c>
      <c r="M219">
        <v>41.6</v>
      </c>
      <c r="N219">
        <v>2845</v>
      </c>
      <c r="O219">
        <v>405</v>
      </c>
      <c r="P219">
        <v>41.6</v>
      </c>
      <c r="Q219">
        <v>345</v>
      </c>
      <c r="R219">
        <v>332</v>
      </c>
      <c r="S219">
        <v>232.7586206896552</v>
      </c>
      <c r="T219" t="s">
        <v>58</v>
      </c>
      <c r="U219">
        <v>21767</v>
      </c>
      <c r="V219">
        <v>15</v>
      </c>
      <c r="W219">
        <v>19</v>
      </c>
      <c r="X219">
        <v>1.74</v>
      </c>
      <c r="Y219">
        <v>18.399999999999999</v>
      </c>
      <c r="Z219" t="s">
        <v>457</v>
      </c>
      <c r="AA219">
        <v>58</v>
      </c>
      <c r="AB219">
        <v>42</v>
      </c>
      <c r="AC219" t="s">
        <v>53</v>
      </c>
      <c r="AD219">
        <v>16643</v>
      </c>
      <c r="AE219">
        <v>6574</v>
      </c>
      <c r="AF219">
        <v>912.98</v>
      </c>
      <c r="AG219">
        <v>4</v>
      </c>
      <c r="AH219">
        <v>436</v>
      </c>
      <c r="AI219">
        <v>43.513750000000002</v>
      </c>
      <c r="AJ219">
        <v>30.85</v>
      </c>
      <c r="AK219">
        <v>40.03</v>
      </c>
      <c r="AL219">
        <v>19.28</v>
      </c>
      <c r="AM219">
        <v>351</v>
      </c>
      <c r="AN219">
        <v>75.05</v>
      </c>
      <c r="AO219">
        <v>157.76</v>
      </c>
      <c r="AP219">
        <v>18.399999999999999</v>
      </c>
      <c r="AQ219">
        <v>15</v>
      </c>
      <c r="AR219">
        <v>31.2</v>
      </c>
    </row>
    <row r="220" spans="1:44" x14ac:dyDescent="0.3">
      <c r="A220">
        <v>219</v>
      </c>
      <c r="B220" t="s">
        <v>844</v>
      </c>
      <c r="C220">
        <v>2024</v>
      </c>
      <c r="D220" t="s">
        <v>845</v>
      </c>
      <c r="E220">
        <v>18</v>
      </c>
      <c r="F220" t="s">
        <v>846</v>
      </c>
      <c r="G220" t="s">
        <v>114</v>
      </c>
      <c r="H220" t="s">
        <v>64</v>
      </c>
      <c r="I220" t="s">
        <v>115</v>
      </c>
      <c r="J220" t="s">
        <v>50</v>
      </c>
      <c r="K220">
        <v>23</v>
      </c>
      <c r="L220">
        <v>21</v>
      </c>
      <c r="M220">
        <v>29.2</v>
      </c>
      <c r="N220">
        <v>6361</v>
      </c>
      <c r="O220">
        <v>275</v>
      </c>
      <c r="P220">
        <v>29.2</v>
      </c>
      <c r="Q220">
        <v>315</v>
      </c>
      <c r="R220">
        <v>468</v>
      </c>
      <c r="S220">
        <v>182.36074270557029</v>
      </c>
      <c r="T220" t="s">
        <v>51</v>
      </c>
      <c r="U220">
        <v>44038</v>
      </c>
      <c r="V220">
        <v>28</v>
      </c>
      <c r="W220">
        <v>28</v>
      </c>
      <c r="X220">
        <v>1.508</v>
      </c>
      <c r="Y220">
        <v>29.1</v>
      </c>
      <c r="Z220" t="s">
        <v>146</v>
      </c>
      <c r="AA220">
        <v>54</v>
      </c>
      <c r="AB220">
        <v>46</v>
      </c>
      <c r="AC220" t="s">
        <v>53</v>
      </c>
      <c r="AD220">
        <v>32494</v>
      </c>
      <c r="AE220">
        <v>8962</v>
      </c>
      <c r="AF220">
        <v>559.59</v>
      </c>
      <c r="AG220">
        <v>23</v>
      </c>
      <c r="AH220">
        <v>21</v>
      </c>
      <c r="AI220">
        <v>55.883456521739127</v>
      </c>
      <c r="AJ220">
        <v>36.42</v>
      </c>
      <c r="AK220">
        <v>48.16</v>
      </c>
      <c r="AL220">
        <v>22.85</v>
      </c>
      <c r="AM220">
        <v>353</v>
      </c>
      <c r="AN220">
        <v>74.91</v>
      </c>
      <c r="AO220">
        <v>204.72</v>
      </c>
      <c r="AP220">
        <v>29.1</v>
      </c>
      <c r="AQ220">
        <v>28</v>
      </c>
      <c r="AR220">
        <v>31.1</v>
      </c>
    </row>
    <row r="221" spans="1:44" x14ac:dyDescent="0.3">
      <c r="A221">
        <v>220</v>
      </c>
      <c r="B221" t="s">
        <v>847</v>
      </c>
      <c r="C221">
        <v>2024</v>
      </c>
      <c r="D221">
        <f>355</f>
        <v>355</v>
      </c>
      <c r="E221">
        <v>13</v>
      </c>
      <c r="F221" t="s">
        <v>848</v>
      </c>
      <c r="G221" t="s">
        <v>99</v>
      </c>
      <c r="H221" t="s">
        <v>100</v>
      </c>
      <c r="I221" t="s">
        <v>849</v>
      </c>
      <c r="J221" t="s">
        <v>50</v>
      </c>
      <c r="K221">
        <v>20.100000000000001</v>
      </c>
      <c r="L221">
        <v>7.6</v>
      </c>
      <c r="M221">
        <v>94.7</v>
      </c>
      <c r="N221">
        <v>10822</v>
      </c>
      <c r="O221">
        <v>898</v>
      </c>
      <c r="P221">
        <v>94.7</v>
      </c>
      <c r="Q221">
        <v>568</v>
      </c>
      <c r="R221">
        <v>75</v>
      </c>
      <c r="S221">
        <v>283.0129215253703</v>
      </c>
      <c r="T221" t="s">
        <v>71</v>
      </c>
      <c r="U221">
        <v>49117</v>
      </c>
      <c r="V221">
        <v>5</v>
      </c>
      <c r="W221">
        <v>5</v>
      </c>
      <c r="X221">
        <v>3.173</v>
      </c>
      <c r="Y221">
        <v>15.9</v>
      </c>
      <c r="Z221" t="s">
        <v>59</v>
      </c>
      <c r="AA221">
        <v>49.014532979999998</v>
      </c>
      <c r="AB221">
        <v>50.985467020000002</v>
      </c>
      <c r="AC221" t="s">
        <v>53</v>
      </c>
      <c r="AD221">
        <v>29949</v>
      </c>
      <c r="AE221">
        <v>19197</v>
      </c>
      <c r="AF221">
        <v>616.32000000000005</v>
      </c>
      <c r="AG221">
        <v>35</v>
      </c>
      <c r="AH221">
        <v>12</v>
      </c>
      <c r="AI221">
        <v>56.538228571428569</v>
      </c>
      <c r="AJ221">
        <v>21.88</v>
      </c>
      <c r="AK221">
        <v>70.61</v>
      </c>
      <c r="AL221">
        <v>14.17</v>
      </c>
      <c r="AM221">
        <v>355</v>
      </c>
      <c r="AN221">
        <v>74.77</v>
      </c>
      <c r="AO221">
        <v>86.82</v>
      </c>
      <c r="AP221">
        <v>15.9</v>
      </c>
      <c r="AQ221">
        <v>5</v>
      </c>
      <c r="AR221">
        <v>30.9</v>
      </c>
    </row>
    <row r="222" spans="1:44" x14ac:dyDescent="0.3">
      <c r="A222">
        <v>221</v>
      </c>
      <c r="B222" t="s">
        <v>850</v>
      </c>
      <c r="C222">
        <v>2024</v>
      </c>
      <c r="D222">
        <f>355</f>
        <v>355</v>
      </c>
      <c r="E222">
        <v>10</v>
      </c>
      <c r="F222" t="s">
        <v>848</v>
      </c>
      <c r="G222" t="s">
        <v>131</v>
      </c>
      <c r="H222" t="s">
        <v>100</v>
      </c>
      <c r="I222" t="s">
        <v>851</v>
      </c>
      <c r="J222" t="s">
        <v>50</v>
      </c>
      <c r="K222">
        <v>35.799999999999997</v>
      </c>
      <c r="L222">
        <v>24</v>
      </c>
      <c r="M222">
        <v>19</v>
      </c>
      <c r="N222">
        <v>4030</v>
      </c>
      <c r="O222">
        <v>405</v>
      </c>
      <c r="P222">
        <v>19</v>
      </c>
      <c r="Q222">
        <v>153</v>
      </c>
      <c r="R222">
        <v>259</v>
      </c>
      <c r="S222">
        <v>0.195369030390738</v>
      </c>
      <c r="T222" t="s">
        <v>71</v>
      </c>
      <c r="U222">
        <v>15506</v>
      </c>
      <c r="V222">
        <v>16</v>
      </c>
      <c r="W222">
        <v>17</v>
      </c>
      <c r="X222">
        <v>2073</v>
      </c>
      <c r="Y222">
        <v>12.1</v>
      </c>
      <c r="Z222" t="s">
        <v>852</v>
      </c>
      <c r="AA222">
        <v>38</v>
      </c>
      <c r="AB222">
        <v>62</v>
      </c>
      <c r="AC222" t="s">
        <v>53</v>
      </c>
      <c r="AD222">
        <v>11848</v>
      </c>
      <c r="AE222">
        <v>3643</v>
      </c>
      <c r="AF222">
        <v>1349.57</v>
      </c>
      <c r="AG222">
        <v>37</v>
      </c>
      <c r="AH222">
        <v>29</v>
      </c>
      <c r="AI222">
        <v>35.237824324324329</v>
      </c>
      <c r="AJ222">
        <v>25.61</v>
      </c>
      <c r="AK222">
        <v>22.27</v>
      </c>
      <c r="AL222">
        <v>5.48</v>
      </c>
      <c r="AM222">
        <v>355</v>
      </c>
      <c r="AN222">
        <v>74.77</v>
      </c>
      <c r="AO222">
        <v>115</v>
      </c>
      <c r="AP222">
        <v>12.1</v>
      </c>
      <c r="AQ222">
        <v>16</v>
      </c>
      <c r="AR222">
        <v>30.9</v>
      </c>
    </row>
    <row r="223" spans="1:44" x14ac:dyDescent="0.3">
      <c r="A223">
        <v>222</v>
      </c>
      <c r="B223" t="s">
        <v>853</v>
      </c>
      <c r="C223">
        <v>2024</v>
      </c>
      <c r="D223">
        <f>358</f>
        <v>358</v>
      </c>
      <c r="E223">
        <v>4</v>
      </c>
      <c r="F223" t="s">
        <v>854</v>
      </c>
      <c r="G223" t="s">
        <v>384</v>
      </c>
      <c r="H223" t="s">
        <v>48</v>
      </c>
      <c r="I223" t="s">
        <v>855</v>
      </c>
      <c r="J223" t="s">
        <v>50</v>
      </c>
      <c r="K223">
        <v>33.6</v>
      </c>
      <c r="L223">
        <v>5.7</v>
      </c>
      <c r="M223">
        <v>49.6</v>
      </c>
      <c r="N223">
        <v>23114</v>
      </c>
      <c r="O223">
        <v>200</v>
      </c>
      <c r="P223">
        <v>49.6</v>
      </c>
      <c r="Q223">
        <v>444</v>
      </c>
      <c r="R223">
        <v>213</v>
      </c>
      <c r="S223">
        <v>112.6760563380282</v>
      </c>
      <c r="T223" t="s">
        <v>96</v>
      </c>
      <c r="U223">
        <v>40535</v>
      </c>
      <c r="V223">
        <v>10</v>
      </c>
      <c r="W223">
        <v>9</v>
      </c>
      <c r="X223">
        <v>1.7749999999999999</v>
      </c>
      <c r="Y223">
        <v>24</v>
      </c>
      <c r="Z223" t="s">
        <v>116</v>
      </c>
      <c r="AA223">
        <v>60</v>
      </c>
      <c r="AB223">
        <v>40</v>
      </c>
      <c r="AC223" t="s">
        <v>53</v>
      </c>
      <c r="AD223">
        <v>30810</v>
      </c>
      <c r="AE223">
        <v>11748</v>
      </c>
      <c r="AF223">
        <v>644.77</v>
      </c>
      <c r="AG223">
        <v>18</v>
      </c>
      <c r="AH223">
        <v>181</v>
      </c>
      <c r="AI223">
        <v>47.393000000000001</v>
      </c>
      <c r="AJ223">
        <v>35.17</v>
      </c>
      <c r="AK223">
        <v>47.49</v>
      </c>
      <c r="AL223">
        <v>13.04</v>
      </c>
      <c r="AM223">
        <v>358</v>
      </c>
      <c r="AN223">
        <v>74.55</v>
      </c>
      <c r="AO223">
        <v>114.96</v>
      </c>
      <c r="AP223">
        <v>24</v>
      </c>
      <c r="AQ223">
        <v>10</v>
      </c>
      <c r="AR223">
        <v>30.8</v>
      </c>
    </row>
    <row r="224" spans="1:44" x14ac:dyDescent="0.3">
      <c r="A224">
        <v>223</v>
      </c>
      <c r="B224" t="s">
        <v>856</v>
      </c>
      <c r="C224">
        <v>2024</v>
      </c>
      <c r="D224">
        <f>358</f>
        <v>358</v>
      </c>
      <c r="E224">
        <v>1</v>
      </c>
      <c r="F224" t="s">
        <v>854</v>
      </c>
      <c r="G224" t="s">
        <v>857</v>
      </c>
      <c r="H224" t="s">
        <v>48</v>
      </c>
      <c r="I224" t="s">
        <v>858</v>
      </c>
      <c r="J224" t="s">
        <v>50</v>
      </c>
      <c r="K224">
        <v>24.4</v>
      </c>
      <c r="L224">
        <v>9</v>
      </c>
      <c r="M224">
        <v>11.5</v>
      </c>
      <c r="N224">
        <v>2576</v>
      </c>
      <c r="O224">
        <v>541</v>
      </c>
      <c r="P224">
        <v>11.5</v>
      </c>
      <c r="Q224">
        <v>134</v>
      </c>
      <c r="R224">
        <v>590</v>
      </c>
      <c r="S224">
        <v>0.33707165109034271</v>
      </c>
      <c r="T224" t="s">
        <v>77</v>
      </c>
      <c r="U224">
        <v>9694</v>
      </c>
      <c r="V224">
        <v>12</v>
      </c>
      <c r="W224">
        <v>13</v>
      </c>
      <c r="X224">
        <v>1605</v>
      </c>
      <c r="Y224">
        <v>9</v>
      </c>
      <c r="Z224" t="s">
        <v>859</v>
      </c>
      <c r="AA224">
        <v>68</v>
      </c>
      <c r="AB224">
        <v>32</v>
      </c>
      <c r="AC224" t="s">
        <v>53</v>
      </c>
      <c r="AD224">
        <v>6498</v>
      </c>
      <c r="AE224">
        <v>3268</v>
      </c>
      <c r="AF224">
        <v>640.83000000000004</v>
      </c>
      <c r="AG224">
        <v>1</v>
      </c>
      <c r="AH224">
        <v>327</v>
      </c>
      <c r="AI224">
        <v>51.964500000000001</v>
      </c>
      <c r="AJ224">
        <v>18.63</v>
      </c>
      <c r="AK224">
        <v>17.5</v>
      </c>
      <c r="AL224">
        <v>12</v>
      </c>
      <c r="AM224">
        <v>358</v>
      </c>
      <c r="AN224">
        <v>74.55</v>
      </c>
      <c r="AO224">
        <v>242.9</v>
      </c>
      <c r="AP224">
        <v>9</v>
      </c>
      <c r="AQ224">
        <v>12</v>
      </c>
      <c r="AR224">
        <v>30.8</v>
      </c>
    </row>
    <row r="225" spans="1:44" x14ac:dyDescent="0.3">
      <c r="A225">
        <v>224</v>
      </c>
      <c r="B225" t="s">
        <v>860</v>
      </c>
      <c r="C225">
        <v>2024</v>
      </c>
      <c r="D225">
        <f>360</f>
        <v>360</v>
      </c>
      <c r="E225">
        <v>2</v>
      </c>
      <c r="F225" t="s">
        <v>861</v>
      </c>
      <c r="G225" t="s">
        <v>805</v>
      </c>
      <c r="H225" t="s">
        <v>100</v>
      </c>
      <c r="I225" t="s">
        <v>806</v>
      </c>
      <c r="J225" t="s">
        <v>50</v>
      </c>
      <c r="K225">
        <v>18.7</v>
      </c>
      <c r="L225">
        <v>38.799999999999997</v>
      </c>
      <c r="M225">
        <v>67.5</v>
      </c>
      <c r="N225">
        <v>22226</v>
      </c>
      <c r="O225">
        <v>1001</v>
      </c>
      <c r="P225">
        <v>67.5</v>
      </c>
      <c r="Q225">
        <v>723</v>
      </c>
      <c r="R225">
        <v>217</v>
      </c>
      <c r="S225">
        <v>472.61567516525031</v>
      </c>
      <c r="T225" t="s">
        <v>71</v>
      </c>
      <c r="U225">
        <v>54890</v>
      </c>
      <c r="V225">
        <v>2</v>
      </c>
      <c r="W225">
        <v>2</v>
      </c>
      <c r="X225">
        <v>2.1179999999999999</v>
      </c>
      <c r="Y225">
        <v>26.6</v>
      </c>
      <c r="Z225" t="s">
        <v>862</v>
      </c>
      <c r="AA225">
        <v>46</v>
      </c>
      <c r="AB225">
        <v>54</v>
      </c>
      <c r="AC225" t="s">
        <v>53</v>
      </c>
      <c r="AD225">
        <v>29672</v>
      </c>
      <c r="AE225">
        <v>26149</v>
      </c>
      <c r="AF225">
        <v>693.23</v>
      </c>
      <c r="AG225">
        <v>6</v>
      </c>
      <c r="AH225">
        <v>325</v>
      </c>
      <c r="AI225">
        <v>44.607750000000003</v>
      </c>
      <c r="AJ225">
        <v>12.14</v>
      </c>
      <c r="AK225">
        <v>70.150000000000006</v>
      </c>
      <c r="AL225">
        <v>7</v>
      </c>
      <c r="AM225">
        <v>360</v>
      </c>
      <c r="AN225">
        <v>74.41</v>
      </c>
      <c r="AO225">
        <v>127.3</v>
      </c>
      <c r="AP225">
        <v>26.6</v>
      </c>
      <c r="AQ225">
        <v>2</v>
      </c>
      <c r="AR225">
        <v>30.7</v>
      </c>
    </row>
    <row r="226" spans="1:44" x14ac:dyDescent="0.3">
      <c r="A226">
        <v>225</v>
      </c>
      <c r="B226" t="s">
        <v>863</v>
      </c>
      <c r="C226">
        <v>2024</v>
      </c>
      <c r="D226">
        <f>364</f>
        <v>364</v>
      </c>
      <c r="E226">
        <v>4</v>
      </c>
      <c r="F226" t="s">
        <v>864</v>
      </c>
      <c r="G226" t="s">
        <v>725</v>
      </c>
      <c r="H226" t="s">
        <v>100</v>
      </c>
      <c r="I226" t="s">
        <v>865</v>
      </c>
      <c r="J226" t="s">
        <v>65</v>
      </c>
      <c r="K226">
        <v>20</v>
      </c>
      <c r="L226">
        <v>39.1</v>
      </c>
      <c r="M226">
        <v>20</v>
      </c>
      <c r="N226">
        <v>634</v>
      </c>
      <c r="O226">
        <v>8876</v>
      </c>
      <c r="P226">
        <v>20</v>
      </c>
      <c r="Q226">
        <v>84</v>
      </c>
      <c r="R226">
        <v>37.799999999999997</v>
      </c>
      <c r="S226">
        <v>2.31</v>
      </c>
      <c r="T226" t="s">
        <v>58</v>
      </c>
      <c r="U226">
        <v>4737</v>
      </c>
      <c r="V226">
        <v>74</v>
      </c>
      <c r="W226">
        <v>72</v>
      </c>
      <c r="X226">
        <v>371</v>
      </c>
      <c r="Y226">
        <v>12.5</v>
      </c>
      <c r="Z226" t="s">
        <v>87</v>
      </c>
      <c r="AA226">
        <v>53</v>
      </c>
      <c r="AB226">
        <v>47</v>
      </c>
      <c r="AC226" t="s">
        <v>53</v>
      </c>
      <c r="AD226">
        <v>4321</v>
      </c>
      <c r="AE226">
        <v>1111</v>
      </c>
      <c r="AF226">
        <v>460.42</v>
      </c>
      <c r="AG226">
        <v>5</v>
      </c>
      <c r="AH226">
        <v>229</v>
      </c>
      <c r="AI226">
        <v>49.677900000000001</v>
      </c>
      <c r="AJ226">
        <v>26.87</v>
      </c>
      <c r="AK226">
        <v>33.99</v>
      </c>
      <c r="AL226">
        <v>36.58</v>
      </c>
      <c r="AM226">
        <v>364</v>
      </c>
      <c r="AN226">
        <v>74.12</v>
      </c>
      <c r="AO226">
        <v>27.12</v>
      </c>
      <c r="AP226">
        <v>12.5</v>
      </c>
      <c r="AQ226">
        <v>74</v>
      </c>
      <c r="AR226">
        <v>30.3</v>
      </c>
    </row>
    <row r="227" spans="1:44" x14ac:dyDescent="0.3">
      <c r="A227">
        <v>226</v>
      </c>
      <c r="B227" t="s">
        <v>866</v>
      </c>
      <c r="C227">
        <v>2024</v>
      </c>
      <c r="D227">
        <f>364</f>
        <v>364</v>
      </c>
      <c r="E227">
        <v>6</v>
      </c>
      <c r="F227" t="s">
        <v>864</v>
      </c>
      <c r="G227" t="s">
        <v>384</v>
      </c>
      <c r="H227" t="s">
        <v>48</v>
      </c>
      <c r="I227" t="s">
        <v>867</v>
      </c>
      <c r="J227" t="s">
        <v>50</v>
      </c>
      <c r="K227">
        <v>39.799999999999997</v>
      </c>
      <c r="L227">
        <v>5.7</v>
      </c>
      <c r="M227">
        <v>36.799999999999997</v>
      </c>
      <c r="N227">
        <v>18874</v>
      </c>
      <c r="O227">
        <v>200</v>
      </c>
      <c r="P227">
        <v>36.799999999999997</v>
      </c>
      <c r="Q227">
        <v>317</v>
      </c>
      <c r="R227">
        <v>199</v>
      </c>
      <c r="S227">
        <v>88.456435205661208</v>
      </c>
      <c r="T227" t="s">
        <v>51</v>
      </c>
      <c r="U227">
        <v>63232</v>
      </c>
      <c r="V227">
        <v>6</v>
      </c>
      <c r="W227">
        <v>6</v>
      </c>
      <c r="X227">
        <v>2.2610000000000001</v>
      </c>
      <c r="Y227">
        <v>29.5</v>
      </c>
      <c r="Z227" t="s">
        <v>138</v>
      </c>
      <c r="AA227">
        <v>62</v>
      </c>
      <c r="AB227">
        <v>38</v>
      </c>
      <c r="AC227" t="s">
        <v>53</v>
      </c>
      <c r="AD227">
        <v>39935</v>
      </c>
      <c r="AE227">
        <v>20093</v>
      </c>
      <c r="AF227">
        <v>644.77</v>
      </c>
      <c r="AG227">
        <v>18</v>
      </c>
      <c r="AH227">
        <v>181</v>
      </c>
      <c r="AI227">
        <v>47.393000000000001</v>
      </c>
      <c r="AJ227">
        <v>35.17</v>
      </c>
      <c r="AK227">
        <v>47.49</v>
      </c>
      <c r="AL227">
        <v>13.04</v>
      </c>
      <c r="AM227">
        <v>364</v>
      </c>
      <c r="AN227">
        <v>74.12</v>
      </c>
      <c r="AO227">
        <v>101.68</v>
      </c>
      <c r="AP227">
        <v>29.5</v>
      </c>
      <c r="AQ227">
        <v>6</v>
      </c>
      <c r="AR227">
        <v>30.3</v>
      </c>
    </row>
    <row r="228" spans="1:44" x14ac:dyDescent="0.3">
      <c r="A228">
        <v>227</v>
      </c>
      <c r="B228" t="s">
        <v>868</v>
      </c>
      <c r="C228">
        <v>2024</v>
      </c>
      <c r="D228">
        <f>371</f>
        <v>371</v>
      </c>
      <c r="E228">
        <v>1</v>
      </c>
      <c r="F228" t="s">
        <v>869</v>
      </c>
      <c r="G228" t="s">
        <v>870</v>
      </c>
      <c r="H228" t="s">
        <v>493</v>
      </c>
      <c r="I228" t="s">
        <v>871</v>
      </c>
      <c r="J228" t="s">
        <v>50</v>
      </c>
      <c r="K228">
        <v>43.7</v>
      </c>
      <c r="L228">
        <v>33.200000000000003</v>
      </c>
      <c r="M228">
        <v>2.8</v>
      </c>
      <c r="N228">
        <v>55777</v>
      </c>
      <c r="O228">
        <v>541</v>
      </c>
      <c r="P228">
        <v>2.8</v>
      </c>
      <c r="Q228">
        <v>235</v>
      </c>
      <c r="R228">
        <v>378</v>
      </c>
      <c r="S228">
        <v>45.37068097953707</v>
      </c>
      <c r="T228" t="s">
        <v>71</v>
      </c>
      <c r="U228">
        <v>202915</v>
      </c>
      <c r="V228">
        <v>5</v>
      </c>
      <c r="W228">
        <v>7</v>
      </c>
      <c r="X228">
        <v>11.923999999999999</v>
      </c>
      <c r="Y228">
        <v>30.9</v>
      </c>
      <c r="Z228" t="s">
        <v>202</v>
      </c>
      <c r="AA228">
        <v>60</v>
      </c>
      <c r="AB228">
        <v>40</v>
      </c>
      <c r="AC228" t="s">
        <v>53</v>
      </c>
      <c r="AD228">
        <v>111505</v>
      </c>
      <c r="AE228">
        <v>61973</v>
      </c>
      <c r="AF228">
        <v>1164.33</v>
      </c>
      <c r="AG228">
        <v>7</v>
      </c>
      <c r="AH228">
        <v>818</v>
      </c>
      <c r="AI228">
        <v>31.523785714285712</v>
      </c>
      <c r="AJ228">
        <v>25.16</v>
      </c>
      <c r="AK228">
        <v>18.14</v>
      </c>
      <c r="AL228">
        <v>5.76</v>
      </c>
      <c r="AM228">
        <v>371</v>
      </c>
      <c r="AN228">
        <v>73.62</v>
      </c>
      <c r="AO228">
        <v>152.88</v>
      </c>
      <c r="AP228">
        <v>30.9</v>
      </c>
      <c r="AQ228">
        <v>5</v>
      </c>
      <c r="AR228">
        <v>29.9</v>
      </c>
    </row>
    <row r="229" spans="1:44" x14ac:dyDescent="0.3">
      <c r="A229">
        <v>228</v>
      </c>
      <c r="B229" t="s">
        <v>872</v>
      </c>
      <c r="C229">
        <v>2024</v>
      </c>
      <c r="D229">
        <f>371</f>
        <v>371</v>
      </c>
      <c r="E229">
        <v>13</v>
      </c>
      <c r="F229" t="s">
        <v>869</v>
      </c>
      <c r="G229" t="s">
        <v>180</v>
      </c>
      <c r="H229" t="s">
        <v>48</v>
      </c>
      <c r="I229" t="s">
        <v>873</v>
      </c>
      <c r="J229" t="s">
        <v>50</v>
      </c>
      <c r="K229">
        <v>15.2</v>
      </c>
      <c r="L229">
        <v>33.4</v>
      </c>
      <c r="M229">
        <v>44.2</v>
      </c>
      <c r="N229">
        <v>4436</v>
      </c>
      <c r="O229">
        <v>460</v>
      </c>
      <c r="P229">
        <v>44.2</v>
      </c>
      <c r="Q229">
        <v>231</v>
      </c>
      <c r="R229">
        <v>760</v>
      </c>
      <c r="S229">
        <v>0.6174496644295302</v>
      </c>
      <c r="T229" t="s">
        <v>77</v>
      </c>
      <c r="U229">
        <v>13225</v>
      </c>
      <c r="V229">
        <v>21</v>
      </c>
      <c r="W229">
        <v>24</v>
      </c>
      <c r="X229">
        <v>745</v>
      </c>
      <c r="Y229">
        <v>32.200000000000003</v>
      </c>
      <c r="Z229" t="s">
        <v>66</v>
      </c>
      <c r="AA229">
        <v>53</v>
      </c>
      <c r="AB229">
        <v>47</v>
      </c>
      <c r="AC229" t="s">
        <v>53</v>
      </c>
      <c r="AD229">
        <v>6919</v>
      </c>
      <c r="AE229">
        <v>5877</v>
      </c>
      <c r="AF229">
        <v>159</v>
      </c>
      <c r="AG229">
        <v>9</v>
      </c>
      <c r="AH229">
        <v>48</v>
      </c>
      <c r="AI229">
        <v>67.177444444444447</v>
      </c>
      <c r="AJ229">
        <v>55.29</v>
      </c>
      <c r="AK229">
        <v>72.84</v>
      </c>
      <c r="AL229">
        <v>31.25</v>
      </c>
      <c r="AM229">
        <v>371</v>
      </c>
      <c r="AN229">
        <v>73.62</v>
      </c>
      <c r="AO229">
        <v>330.52</v>
      </c>
      <c r="AP229">
        <v>32.200000000000003</v>
      </c>
      <c r="AQ229">
        <v>21</v>
      </c>
      <c r="AR229">
        <v>29.9</v>
      </c>
    </row>
    <row r="230" spans="1:44" x14ac:dyDescent="0.3">
      <c r="A230">
        <v>229</v>
      </c>
      <c r="B230" t="s">
        <v>874</v>
      </c>
      <c r="C230">
        <v>2024</v>
      </c>
      <c r="D230">
        <f>375</f>
        <v>375</v>
      </c>
      <c r="E230">
        <v>6</v>
      </c>
      <c r="F230" t="s">
        <v>875</v>
      </c>
      <c r="G230" t="s">
        <v>805</v>
      </c>
      <c r="H230" t="s">
        <v>100</v>
      </c>
      <c r="I230" t="s">
        <v>806</v>
      </c>
      <c r="J230" t="s">
        <v>50</v>
      </c>
      <c r="K230">
        <v>4.0999999999999996</v>
      </c>
      <c r="L230">
        <v>33.4</v>
      </c>
      <c r="M230">
        <v>99.8</v>
      </c>
      <c r="N230">
        <v>1312</v>
      </c>
      <c r="O230">
        <v>898</v>
      </c>
      <c r="P230">
        <v>99.8</v>
      </c>
      <c r="Q230">
        <v>218</v>
      </c>
      <c r="R230">
        <v>396</v>
      </c>
      <c r="S230">
        <v>1.71047619047619</v>
      </c>
      <c r="T230" t="s">
        <v>58</v>
      </c>
      <c r="U230">
        <v>9859</v>
      </c>
      <c r="V230">
        <v>3</v>
      </c>
      <c r="W230">
        <v>4</v>
      </c>
      <c r="X230">
        <v>525</v>
      </c>
      <c r="Y230">
        <v>20.2</v>
      </c>
      <c r="Z230" t="s">
        <v>386</v>
      </c>
      <c r="AA230">
        <v>34</v>
      </c>
      <c r="AB230">
        <v>66</v>
      </c>
      <c r="AC230" t="s">
        <v>53</v>
      </c>
      <c r="AD230">
        <v>5087</v>
      </c>
      <c r="AE230">
        <v>3257</v>
      </c>
      <c r="AF230">
        <v>693.23</v>
      </c>
      <c r="AG230">
        <v>6</v>
      </c>
      <c r="AH230">
        <v>325</v>
      </c>
      <c r="AI230">
        <v>44.607750000000003</v>
      </c>
      <c r="AJ230">
        <v>12.14</v>
      </c>
      <c r="AK230">
        <v>70.150000000000006</v>
      </c>
      <c r="AL230">
        <v>7</v>
      </c>
      <c r="AM230">
        <v>375</v>
      </c>
      <c r="AN230">
        <v>73.34</v>
      </c>
      <c r="AO230">
        <v>218.28</v>
      </c>
      <c r="AP230">
        <v>20.2</v>
      </c>
      <c r="AQ230">
        <v>3</v>
      </c>
      <c r="AR230">
        <v>29.5</v>
      </c>
    </row>
    <row r="231" spans="1:44" x14ac:dyDescent="0.3">
      <c r="A231">
        <v>230</v>
      </c>
      <c r="B231" t="s">
        <v>876</v>
      </c>
      <c r="C231">
        <v>2024</v>
      </c>
      <c r="D231" t="s">
        <v>877</v>
      </c>
      <c r="E231">
        <v>66</v>
      </c>
      <c r="F231" t="s">
        <v>878</v>
      </c>
      <c r="G231" t="s">
        <v>63</v>
      </c>
      <c r="H231" t="s">
        <v>64</v>
      </c>
      <c r="I231" t="s">
        <v>879</v>
      </c>
      <c r="J231" t="s">
        <v>65</v>
      </c>
      <c r="K231">
        <v>18.100000000000001</v>
      </c>
      <c r="L231">
        <v>5.3</v>
      </c>
      <c r="M231">
        <v>42.9</v>
      </c>
      <c r="N231">
        <v>5576</v>
      </c>
      <c r="O231">
        <v>151</v>
      </c>
      <c r="P231">
        <v>42.9</v>
      </c>
      <c r="Q231">
        <v>179</v>
      </c>
      <c r="R231">
        <v>272</v>
      </c>
      <c r="S231">
        <v>0.10349554489376279</v>
      </c>
      <c r="T231" t="s">
        <v>77</v>
      </c>
      <c r="U231">
        <v>11611</v>
      </c>
      <c r="V231">
        <v>16</v>
      </c>
      <c r="W231">
        <v>18</v>
      </c>
      <c r="X231">
        <v>1459</v>
      </c>
      <c r="Y231">
        <v>10.5</v>
      </c>
      <c r="Z231" t="s">
        <v>457</v>
      </c>
      <c r="AA231">
        <v>59</v>
      </c>
      <c r="AB231">
        <v>41</v>
      </c>
      <c r="AC231" t="s">
        <v>53</v>
      </c>
      <c r="AD231">
        <v>9342</v>
      </c>
      <c r="AE231">
        <v>3376</v>
      </c>
      <c r="AF231">
        <v>647.61</v>
      </c>
      <c r="AG231">
        <v>98</v>
      </c>
      <c r="AH231">
        <v>2</v>
      </c>
      <c r="AI231">
        <v>56.843244897959181</v>
      </c>
      <c r="AJ231">
        <v>29.74</v>
      </c>
      <c r="AK231">
        <v>38.11</v>
      </c>
      <c r="AL231">
        <v>19.260000000000002</v>
      </c>
      <c r="AM231">
        <v>379</v>
      </c>
      <c r="AN231">
        <v>73.05</v>
      </c>
      <c r="AO231">
        <v>134.54</v>
      </c>
      <c r="AP231">
        <v>10.5</v>
      </c>
      <c r="AQ231">
        <v>16</v>
      </c>
      <c r="AR231">
        <v>29.4</v>
      </c>
    </row>
    <row r="232" spans="1:44" x14ac:dyDescent="0.3">
      <c r="A232">
        <v>231</v>
      </c>
      <c r="B232" t="s">
        <v>880</v>
      </c>
      <c r="C232">
        <v>2024</v>
      </c>
      <c r="D232" t="s">
        <v>881</v>
      </c>
      <c r="E232">
        <v>18</v>
      </c>
      <c r="F232" t="s">
        <v>882</v>
      </c>
      <c r="G232" t="s">
        <v>107</v>
      </c>
      <c r="H232" t="s">
        <v>108</v>
      </c>
      <c r="I232" t="s">
        <v>883</v>
      </c>
      <c r="J232" t="s">
        <v>50</v>
      </c>
      <c r="K232">
        <v>13.3</v>
      </c>
      <c r="L232">
        <v>6.7</v>
      </c>
      <c r="M232">
        <v>42.6</v>
      </c>
      <c r="N232">
        <v>5109</v>
      </c>
      <c r="O232">
        <v>541</v>
      </c>
      <c r="P232">
        <v>42.6</v>
      </c>
      <c r="Q232">
        <v>315</v>
      </c>
      <c r="R232">
        <v>511</v>
      </c>
      <c r="S232">
        <v>0.58047210300429186</v>
      </c>
      <c r="T232" t="s">
        <v>71</v>
      </c>
      <c r="U232">
        <v>17422</v>
      </c>
      <c r="V232">
        <v>33</v>
      </c>
      <c r="W232">
        <v>40</v>
      </c>
      <c r="X232">
        <v>932</v>
      </c>
      <c r="Y232">
        <v>29.4</v>
      </c>
      <c r="Z232" t="s">
        <v>368</v>
      </c>
      <c r="AA232">
        <v>63</v>
      </c>
      <c r="AB232">
        <v>37</v>
      </c>
      <c r="AC232" t="s">
        <v>53</v>
      </c>
      <c r="AD232">
        <v>12099</v>
      </c>
      <c r="AE232">
        <v>3922</v>
      </c>
      <c r="AF232">
        <v>373.87</v>
      </c>
      <c r="AG232">
        <v>21</v>
      </c>
      <c r="AH232">
        <v>54</v>
      </c>
      <c r="AI232">
        <v>57.368190476190478</v>
      </c>
      <c r="AJ232">
        <v>42.18</v>
      </c>
      <c r="AK232">
        <v>66.97</v>
      </c>
      <c r="AL232">
        <v>30.67</v>
      </c>
      <c r="AM232">
        <v>380</v>
      </c>
      <c r="AN232">
        <v>72.98</v>
      </c>
      <c r="AO232">
        <v>229.96</v>
      </c>
      <c r="AP232">
        <v>29.4</v>
      </c>
      <c r="AQ232">
        <v>33</v>
      </c>
      <c r="AR232">
        <v>29.2</v>
      </c>
    </row>
    <row r="233" spans="1:44" x14ac:dyDescent="0.3">
      <c r="A233">
        <v>232</v>
      </c>
      <c r="B233" t="s">
        <v>884</v>
      </c>
      <c r="C233">
        <v>2024</v>
      </c>
      <c r="D233" t="s">
        <v>885</v>
      </c>
      <c r="E233">
        <v>1</v>
      </c>
      <c r="F233" t="s">
        <v>886</v>
      </c>
      <c r="G233" t="s">
        <v>887</v>
      </c>
      <c r="H233" t="s">
        <v>48</v>
      </c>
      <c r="I233" t="s">
        <v>888</v>
      </c>
      <c r="J233" t="s">
        <v>65</v>
      </c>
      <c r="K233">
        <v>9.1</v>
      </c>
      <c r="L233">
        <v>4.9000000000000004</v>
      </c>
      <c r="M233">
        <v>28.6</v>
      </c>
      <c r="N233">
        <v>1406</v>
      </c>
      <c r="O233">
        <v>13173</v>
      </c>
      <c r="P233">
        <v>28.6</v>
      </c>
      <c r="Q233">
        <v>113</v>
      </c>
      <c r="R233">
        <v>26.4</v>
      </c>
      <c r="S233">
        <v>2.7</v>
      </c>
      <c r="T233" t="s">
        <v>96</v>
      </c>
      <c r="U233">
        <v>5599</v>
      </c>
      <c r="V233">
        <v>49</v>
      </c>
      <c r="W233">
        <v>52</v>
      </c>
      <c r="X233">
        <v>521</v>
      </c>
      <c r="Y233">
        <v>21.3</v>
      </c>
      <c r="Z233" t="s">
        <v>337</v>
      </c>
      <c r="AA233">
        <v>53</v>
      </c>
      <c r="AB233">
        <v>47</v>
      </c>
      <c r="AC233" t="s">
        <v>53</v>
      </c>
      <c r="AD233">
        <v>3866</v>
      </c>
      <c r="AE233">
        <v>1852</v>
      </c>
      <c r="AF233">
        <v>381</v>
      </c>
      <c r="AG233">
        <v>1</v>
      </c>
      <c r="AH233">
        <v>243</v>
      </c>
      <c r="AI233">
        <v>56.048000000000002</v>
      </c>
      <c r="AJ233">
        <v>13.2</v>
      </c>
      <c r="AK233">
        <v>39.5</v>
      </c>
      <c r="AL233">
        <v>52</v>
      </c>
      <c r="AM233">
        <v>381</v>
      </c>
      <c r="AN233">
        <v>72.91</v>
      </c>
      <c r="AO233">
        <v>27.72</v>
      </c>
      <c r="AP233">
        <v>21.3</v>
      </c>
      <c r="AQ233">
        <v>49</v>
      </c>
      <c r="AR233">
        <v>29.1</v>
      </c>
    </row>
    <row r="234" spans="1:44" x14ac:dyDescent="0.3">
      <c r="A234">
        <v>233</v>
      </c>
      <c r="B234" t="s">
        <v>889</v>
      </c>
      <c r="C234">
        <v>2024</v>
      </c>
      <c r="D234">
        <f>382</f>
        <v>382</v>
      </c>
      <c r="E234">
        <v>1</v>
      </c>
      <c r="F234" t="s">
        <v>890</v>
      </c>
      <c r="G234" t="s">
        <v>555</v>
      </c>
      <c r="H234" t="s">
        <v>100</v>
      </c>
      <c r="I234" t="s">
        <v>891</v>
      </c>
      <c r="J234" t="s">
        <v>50</v>
      </c>
      <c r="K234">
        <v>42.4</v>
      </c>
      <c r="L234">
        <v>30.3</v>
      </c>
      <c r="M234">
        <v>4.7</v>
      </c>
      <c r="N234">
        <v>6378</v>
      </c>
      <c r="O234">
        <v>898</v>
      </c>
      <c r="P234">
        <v>4.7</v>
      </c>
      <c r="Q234">
        <v>98</v>
      </c>
      <c r="R234">
        <v>424</v>
      </c>
      <c r="S234">
        <v>0.2332467532467532</v>
      </c>
      <c r="T234" t="s">
        <v>77</v>
      </c>
      <c r="U234">
        <v>28790</v>
      </c>
      <c r="V234">
        <v>5</v>
      </c>
      <c r="W234">
        <v>6</v>
      </c>
      <c r="X234">
        <v>3850</v>
      </c>
      <c r="Y234">
        <v>8.9</v>
      </c>
      <c r="Z234" t="s">
        <v>620</v>
      </c>
      <c r="AA234">
        <v>63</v>
      </c>
      <c r="AB234">
        <v>37</v>
      </c>
      <c r="AC234" t="s">
        <v>53</v>
      </c>
      <c r="AD234">
        <v>25075</v>
      </c>
      <c r="AE234">
        <v>4662</v>
      </c>
      <c r="AF234">
        <v>1257.07</v>
      </c>
      <c r="AG234">
        <v>10</v>
      </c>
      <c r="AH234">
        <v>612</v>
      </c>
      <c r="AI234">
        <v>27.2866</v>
      </c>
      <c r="AJ234">
        <v>27.35</v>
      </c>
      <c r="AK234">
        <v>13.88</v>
      </c>
      <c r="AL234">
        <v>3.81</v>
      </c>
      <c r="AM234">
        <v>382</v>
      </c>
      <c r="AN234">
        <v>72.84</v>
      </c>
      <c r="AO234">
        <v>172.42</v>
      </c>
      <c r="AP234">
        <v>8.9</v>
      </c>
      <c r="AQ234">
        <v>5</v>
      </c>
      <c r="AR234">
        <v>29</v>
      </c>
    </row>
    <row r="235" spans="1:44" x14ac:dyDescent="0.3">
      <c r="A235">
        <v>234</v>
      </c>
      <c r="B235" t="s">
        <v>892</v>
      </c>
      <c r="C235">
        <v>2024</v>
      </c>
      <c r="D235">
        <f>384</f>
        <v>384</v>
      </c>
      <c r="E235">
        <v>21</v>
      </c>
      <c r="F235" t="s">
        <v>893</v>
      </c>
      <c r="G235" t="s">
        <v>99</v>
      </c>
      <c r="H235" t="s">
        <v>100</v>
      </c>
      <c r="I235" t="s">
        <v>717</v>
      </c>
      <c r="J235" t="s">
        <v>50</v>
      </c>
      <c r="K235">
        <v>21.1</v>
      </c>
      <c r="L235">
        <v>8.6</v>
      </c>
      <c r="M235">
        <v>73.900000000000006</v>
      </c>
      <c r="N235">
        <v>5174</v>
      </c>
      <c r="O235">
        <v>405</v>
      </c>
      <c r="P235">
        <v>73.900000000000006</v>
      </c>
      <c r="Q235">
        <v>438</v>
      </c>
      <c r="R235">
        <v>252</v>
      </c>
      <c r="S235">
        <v>142.30498945888971</v>
      </c>
      <c r="T235" t="s">
        <v>96</v>
      </c>
      <c r="U235">
        <v>31416</v>
      </c>
      <c r="V235">
        <v>7</v>
      </c>
      <c r="W235">
        <v>7</v>
      </c>
      <c r="X235">
        <v>2.8460000000000001</v>
      </c>
      <c r="Y235">
        <v>11.7</v>
      </c>
      <c r="Z235" t="s">
        <v>78</v>
      </c>
      <c r="AA235">
        <v>42.024856890000002</v>
      </c>
      <c r="AB235">
        <v>57.975143109999998</v>
      </c>
      <c r="AC235" t="s">
        <v>53</v>
      </c>
      <c r="AD235">
        <v>24662</v>
      </c>
      <c r="AE235">
        <v>8629</v>
      </c>
      <c r="AF235">
        <v>616.32000000000005</v>
      </c>
      <c r="AG235">
        <v>35</v>
      </c>
      <c r="AH235">
        <v>12</v>
      </c>
      <c r="AI235">
        <v>56.538228571428569</v>
      </c>
      <c r="AJ235">
        <v>21.88</v>
      </c>
      <c r="AK235">
        <v>70.61</v>
      </c>
      <c r="AL235">
        <v>14.17</v>
      </c>
      <c r="AM235">
        <v>384</v>
      </c>
      <c r="AN235">
        <v>72.69</v>
      </c>
      <c r="AO235">
        <v>145.13999999999999</v>
      </c>
      <c r="AP235">
        <v>11.7</v>
      </c>
      <c r="AQ235">
        <v>7</v>
      </c>
      <c r="AR235">
        <v>28.6</v>
      </c>
    </row>
    <row r="236" spans="1:44" x14ac:dyDescent="0.3">
      <c r="A236">
        <v>235</v>
      </c>
      <c r="B236" t="s">
        <v>894</v>
      </c>
      <c r="C236">
        <v>2024</v>
      </c>
      <c r="D236">
        <f>387</f>
        <v>387</v>
      </c>
      <c r="E236">
        <v>8</v>
      </c>
      <c r="F236" t="s">
        <v>895</v>
      </c>
      <c r="G236" t="s">
        <v>155</v>
      </c>
      <c r="H236" t="s">
        <v>48</v>
      </c>
      <c r="I236" t="s">
        <v>896</v>
      </c>
      <c r="J236" t="s">
        <v>50</v>
      </c>
      <c r="K236">
        <v>36.1</v>
      </c>
      <c r="L236">
        <v>4.5</v>
      </c>
      <c r="M236">
        <v>26.5</v>
      </c>
      <c r="N236">
        <v>6188</v>
      </c>
      <c r="O236">
        <v>139</v>
      </c>
      <c r="P236">
        <v>26.5</v>
      </c>
      <c r="Q236">
        <v>205</v>
      </c>
      <c r="R236">
        <v>87</v>
      </c>
      <c r="S236">
        <v>34.160727451462279</v>
      </c>
      <c r="T236" t="s">
        <v>96</v>
      </c>
      <c r="U236">
        <v>72946</v>
      </c>
      <c r="V236">
        <v>14</v>
      </c>
      <c r="W236">
        <v>19.56982855</v>
      </c>
      <c r="X236">
        <v>4.069</v>
      </c>
      <c r="Y236">
        <v>17.3</v>
      </c>
      <c r="Z236" t="s">
        <v>202</v>
      </c>
      <c r="AA236">
        <v>45.398440639999997</v>
      </c>
      <c r="AB236">
        <v>54.601559360000003</v>
      </c>
      <c r="AC236" t="s">
        <v>53</v>
      </c>
      <c r="AD236">
        <v>22722</v>
      </c>
      <c r="AE236">
        <v>16617</v>
      </c>
      <c r="AF236">
        <v>858.67</v>
      </c>
      <c r="AG236">
        <v>9</v>
      </c>
      <c r="AH236">
        <v>58</v>
      </c>
      <c r="AI236">
        <v>54.703833333333343</v>
      </c>
      <c r="AJ236">
        <v>33.89</v>
      </c>
      <c r="AK236">
        <v>35.92</v>
      </c>
      <c r="AL236">
        <v>20.8</v>
      </c>
      <c r="AM236">
        <v>387</v>
      </c>
      <c r="AN236">
        <v>72.48</v>
      </c>
      <c r="AO236">
        <v>50.7</v>
      </c>
      <c r="AP236">
        <v>17.3</v>
      </c>
      <c r="AQ236">
        <v>14</v>
      </c>
      <c r="AR236">
        <v>28.3</v>
      </c>
    </row>
    <row r="237" spans="1:44" x14ac:dyDescent="0.3">
      <c r="A237">
        <v>236</v>
      </c>
      <c r="B237" t="s">
        <v>897</v>
      </c>
      <c r="C237">
        <v>2024</v>
      </c>
      <c r="D237">
        <f>387</f>
        <v>387</v>
      </c>
      <c r="E237">
        <v>1</v>
      </c>
      <c r="F237" t="s">
        <v>895</v>
      </c>
      <c r="G237" t="s">
        <v>898</v>
      </c>
      <c r="H237" t="s">
        <v>48</v>
      </c>
      <c r="I237" t="s">
        <v>899</v>
      </c>
      <c r="J237" t="s">
        <v>50</v>
      </c>
      <c r="K237">
        <v>26.6</v>
      </c>
      <c r="L237">
        <v>42.5</v>
      </c>
      <c r="M237">
        <v>1.3</v>
      </c>
      <c r="N237">
        <v>4870</v>
      </c>
      <c r="O237">
        <v>1473</v>
      </c>
      <c r="P237">
        <v>1.3</v>
      </c>
      <c r="Q237">
        <v>35</v>
      </c>
      <c r="R237">
        <v>17.100000000000001</v>
      </c>
      <c r="S237">
        <v>4.04</v>
      </c>
      <c r="T237" t="s">
        <v>77</v>
      </c>
      <c r="U237">
        <v>23030</v>
      </c>
      <c r="V237">
        <v>19</v>
      </c>
      <c r="W237">
        <v>22</v>
      </c>
      <c r="X237">
        <v>4173</v>
      </c>
      <c r="Y237">
        <v>7.6</v>
      </c>
      <c r="Z237" t="s">
        <v>326</v>
      </c>
      <c r="AA237">
        <v>58</v>
      </c>
      <c r="AB237">
        <v>42</v>
      </c>
      <c r="AC237" t="s">
        <v>53</v>
      </c>
      <c r="AD237">
        <v>17105</v>
      </c>
      <c r="AE237">
        <v>6340</v>
      </c>
      <c r="AF237">
        <v>661.25</v>
      </c>
      <c r="AG237">
        <v>1</v>
      </c>
      <c r="AH237">
        <v>1476</v>
      </c>
      <c r="AI237">
        <v>23.183499999999999</v>
      </c>
      <c r="AJ237">
        <v>18.600000000000001</v>
      </c>
      <c r="AK237">
        <v>1.37</v>
      </c>
      <c r="AL237">
        <v>17.68</v>
      </c>
      <c r="AM237">
        <v>387</v>
      </c>
      <c r="AN237">
        <v>72.48</v>
      </c>
      <c r="AO237">
        <v>7.62</v>
      </c>
      <c r="AP237">
        <v>7.6</v>
      </c>
      <c r="AQ237">
        <v>19</v>
      </c>
      <c r="AR237">
        <v>28.3</v>
      </c>
    </row>
    <row r="238" spans="1:44" x14ac:dyDescent="0.3">
      <c r="A238">
        <v>237</v>
      </c>
      <c r="B238" t="s">
        <v>900</v>
      </c>
      <c r="C238">
        <v>2024</v>
      </c>
      <c r="D238">
        <f>387</f>
        <v>387</v>
      </c>
      <c r="E238">
        <v>24</v>
      </c>
      <c r="F238" t="s">
        <v>895</v>
      </c>
      <c r="G238" t="s">
        <v>114</v>
      </c>
      <c r="H238" t="s">
        <v>64</v>
      </c>
      <c r="I238" t="s">
        <v>137</v>
      </c>
      <c r="J238" t="s">
        <v>50</v>
      </c>
      <c r="K238">
        <v>15</v>
      </c>
      <c r="L238">
        <v>15.2</v>
      </c>
      <c r="M238">
        <v>23.7</v>
      </c>
      <c r="N238">
        <v>7389</v>
      </c>
      <c r="O238">
        <v>1001</v>
      </c>
      <c r="P238">
        <v>23.7</v>
      </c>
      <c r="Q238">
        <v>255</v>
      </c>
      <c r="R238">
        <v>605</v>
      </c>
      <c r="S238">
        <v>0.43865030674846628</v>
      </c>
      <c r="T238" t="s">
        <v>96</v>
      </c>
      <c r="U238">
        <v>36749</v>
      </c>
      <c r="V238">
        <v>34</v>
      </c>
      <c r="W238">
        <v>35</v>
      </c>
      <c r="X238">
        <v>2282</v>
      </c>
      <c r="Y238">
        <v>34.6</v>
      </c>
      <c r="Z238" t="s">
        <v>133</v>
      </c>
      <c r="AA238">
        <v>49</v>
      </c>
      <c r="AB238">
        <v>51</v>
      </c>
      <c r="AC238" t="s">
        <v>53</v>
      </c>
      <c r="AD238">
        <v>26994</v>
      </c>
      <c r="AE238">
        <v>9817</v>
      </c>
      <c r="AF238">
        <v>559.59</v>
      </c>
      <c r="AG238">
        <v>23</v>
      </c>
      <c r="AH238">
        <v>21</v>
      </c>
      <c r="AI238">
        <v>55.883456521739127</v>
      </c>
      <c r="AJ238">
        <v>36.42</v>
      </c>
      <c r="AK238">
        <v>48.16</v>
      </c>
      <c r="AL238">
        <v>22.85</v>
      </c>
      <c r="AM238">
        <v>387</v>
      </c>
      <c r="AN238">
        <v>72.48</v>
      </c>
      <c r="AO238">
        <v>256.22000000000003</v>
      </c>
      <c r="AP238">
        <v>34.6</v>
      </c>
      <c r="AQ238">
        <v>34</v>
      </c>
      <c r="AR238">
        <v>28.3</v>
      </c>
    </row>
    <row r="239" spans="1:44" x14ac:dyDescent="0.3">
      <c r="A239">
        <v>238</v>
      </c>
      <c r="B239" t="s">
        <v>901</v>
      </c>
      <c r="C239">
        <v>2024</v>
      </c>
      <c r="D239">
        <f>387</f>
        <v>387</v>
      </c>
      <c r="E239">
        <v>6</v>
      </c>
      <c r="F239" t="s">
        <v>895</v>
      </c>
      <c r="G239" t="s">
        <v>239</v>
      </c>
      <c r="H239" t="s">
        <v>100</v>
      </c>
      <c r="I239" t="s">
        <v>240</v>
      </c>
      <c r="J239" t="s">
        <v>50</v>
      </c>
      <c r="K239">
        <v>27.1</v>
      </c>
      <c r="L239">
        <v>37.799999999999997</v>
      </c>
      <c r="M239">
        <v>27</v>
      </c>
      <c r="N239">
        <v>2834</v>
      </c>
      <c r="O239">
        <v>16757</v>
      </c>
      <c r="P239">
        <v>27</v>
      </c>
      <c r="Q239">
        <v>133</v>
      </c>
      <c r="R239">
        <v>41.8</v>
      </c>
      <c r="S239">
        <v>4.3099999999999996</v>
      </c>
      <c r="T239" t="s">
        <v>71</v>
      </c>
      <c r="U239">
        <v>9221</v>
      </c>
      <c r="V239">
        <v>19</v>
      </c>
      <c r="W239">
        <v>16</v>
      </c>
      <c r="X239">
        <v>1005</v>
      </c>
      <c r="Y239">
        <v>18.5</v>
      </c>
      <c r="Z239" t="s">
        <v>390</v>
      </c>
      <c r="AA239">
        <v>30</v>
      </c>
      <c r="AB239">
        <v>70</v>
      </c>
      <c r="AC239" t="s">
        <v>53</v>
      </c>
      <c r="AD239">
        <v>7158</v>
      </c>
      <c r="AE239">
        <v>2086</v>
      </c>
      <c r="AF239">
        <v>1161.4000000000001</v>
      </c>
      <c r="AG239">
        <v>22</v>
      </c>
      <c r="AH239">
        <v>154</v>
      </c>
      <c r="AI239">
        <v>33.419431818181813</v>
      </c>
      <c r="AJ239">
        <v>25.98</v>
      </c>
      <c r="AK239">
        <v>28.31</v>
      </c>
      <c r="AL239">
        <v>8.91</v>
      </c>
      <c r="AM239">
        <v>387</v>
      </c>
      <c r="AN239">
        <v>72.48</v>
      </c>
      <c r="AO239">
        <v>32.92</v>
      </c>
      <c r="AP239">
        <v>18.5</v>
      </c>
      <c r="AQ239">
        <v>19</v>
      </c>
      <c r="AR239">
        <v>28.3</v>
      </c>
    </row>
    <row r="240" spans="1:44" x14ac:dyDescent="0.3">
      <c r="A240">
        <v>239</v>
      </c>
      <c r="B240" t="s">
        <v>902</v>
      </c>
      <c r="C240">
        <v>2024</v>
      </c>
      <c r="D240">
        <f>392</f>
        <v>392</v>
      </c>
      <c r="E240">
        <v>17</v>
      </c>
      <c r="F240" t="s">
        <v>903</v>
      </c>
      <c r="G240" t="s">
        <v>99</v>
      </c>
      <c r="H240" t="s">
        <v>100</v>
      </c>
      <c r="I240" t="s">
        <v>787</v>
      </c>
      <c r="J240" t="s">
        <v>50</v>
      </c>
      <c r="K240">
        <v>12.5</v>
      </c>
      <c r="L240">
        <v>4.2</v>
      </c>
      <c r="M240">
        <v>95.4</v>
      </c>
      <c r="N240">
        <v>14897</v>
      </c>
      <c r="O240">
        <v>304</v>
      </c>
      <c r="P240">
        <v>95.4</v>
      </c>
      <c r="Q240">
        <v>304</v>
      </c>
      <c r="R240">
        <v>200</v>
      </c>
      <c r="S240">
        <v>101.1310711909514</v>
      </c>
      <c r="T240" t="s">
        <v>71</v>
      </c>
      <c r="U240">
        <v>40449</v>
      </c>
      <c r="V240">
        <v>6</v>
      </c>
      <c r="W240">
        <v>7</v>
      </c>
      <c r="X240">
        <v>3.0059999999999998</v>
      </c>
      <c r="Y240">
        <v>12.6</v>
      </c>
      <c r="Z240" t="s">
        <v>852</v>
      </c>
      <c r="AA240">
        <v>39</v>
      </c>
      <c r="AB240">
        <v>61</v>
      </c>
      <c r="AC240" t="s">
        <v>53</v>
      </c>
      <c r="AD240">
        <v>29640</v>
      </c>
      <c r="AE240">
        <v>11581</v>
      </c>
      <c r="AF240">
        <v>616.32000000000005</v>
      </c>
      <c r="AG240">
        <v>35</v>
      </c>
      <c r="AH240">
        <v>12</v>
      </c>
      <c r="AI240">
        <v>56.538228571428569</v>
      </c>
      <c r="AJ240">
        <v>21.88</v>
      </c>
      <c r="AK240">
        <v>70.61</v>
      </c>
      <c r="AL240">
        <v>14.17</v>
      </c>
      <c r="AM240">
        <v>392</v>
      </c>
      <c r="AN240">
        <v>72.12</v>
      </c>
      <c r="AO240">
        <v>137.24</v>
      </c>
      <c r="AP240">
        <v>12.6</v>
      </c>
      <c r="AQ240">
        <v>6</v>
      </c>
      <c r="AR240">
        <v>28.2</v>
      </c>
    </row>
    <row r="241" spans="1:44" x14ac:dyDescent="0.3">
      <c r="A241">
        <v>240</v>
      </c>
      <c r="B241" t="s">
        <v>904</v>
      </c>
      <c r="C241">
        <v>2024</v>
      </c>
      <c r="D241">
        <f>392</f>
        <v>392</v>
      </c>
      <c r="E241">
        <v>26</v>
      </c>
      <c r="F241" t="s">
        <v>903</v>
      </c>
      <c r="G241" t="s">
        <v>99</v>
      </c>
      <c r="H241" t="s">
        <v>100</v>
      </c>
      <c r="I241" t="s">
        <v>905</v>
      </c>
      <c r="J241" t="s">
        <v>50</v>
      </c>
      <c r="K241">
        <v>25.9</v>
      </c>
      <c r="L241">
        <v>11.6</v>
      </c>
      <c r="M241">
        <v>65.3</v>
      </c>
      <c r="N241">
        <v>7791</v>
      </c>
      <c r="O241">
        <v>898</v>
      </c>
      <c r="P241">
        <v>65.3</v>
      </c>
      <c r="Q241">
        <v>427</v>
      </c>
      <c r="R241">
        <v>246</v>
      </c>
      <c r="S241">
        <v>289.11783644558921</v>
      </c>
      <c r="T241" t="s">
        <v>71</v>
      </c>
      <c r="U241">
        <v>44715</v>
      </c>
      <c r="V241">
        <v>2</v>
      </c>
      <c r="W241">
        <v>3</v>
      </c>
      <c r="X241">
        <v>3.1059999999999999</v>
      </c>
      <c r="Y241">
        <v>15.1</v>
      </c>
      <c r="Z241" t="s">
        <v>408</v>
      </c>
      <c r="AA241">
        <v>45.061206689999999</v>
      </c>
      <c r="AB241">
        <v>54.938793310000001</v>
      </c>
      <c r="AC241" t="s">
        <v>53</v>
      </c>
      <c r="AD241">
        <v>24397</v>
      </c>
      <c r="AE241">
        <v>18121</v>
      </c>
      <c r="AF241">
        <v>616.32000000000005</v>
      </c>
      <c r="AG241">
        <v>35</v>
      </c>
      <c r="AH241">
        <v>12</v>
      </c>
      <c r="AI241">
        <v>56.538228571428569</v>
      </c>
      <c r="AJ241">
        <v>21.88</v>
      </c>
      <c r="AK241">
        <v>70.61</v>
      </c>
      <c r="AL241">
        <v>14.17</v>
      </c>
      <c r="AM241">
        <v>392</v>
      </c>
      <c r="AN241">
        <v>72.12</v>
      </c>
      <c r="AO241">
        <v>137.58000000000001</v>
      </c>
      <c r="AP241">
        <v>15.1</v>
      </c>
      <c r="AQ241">
        <v>2</v>
      </c>
      <c r="AR241">
        <v>28.2</v>
      </c>
    </row>
    <row r="242" spans="1:44" x14ac:dyDescent="0.3">
      <c r="A242">
        <v>241</v>
      </c>
      <c r="B242" t="s">
        <v>906</v>
      </c>
      <c r="C242">
        <v>2024</v>
      </c>
      <c r="D242" t="s">
        <v>907</v>
      </c>
      <c r="E242">
        <v>12</v>
      </c>
      <c r="F242" t="s">
        <v>908</v>
      </c>
      <c r="G242" t="s">
        <v>286</v>
      </c>
      <c r="H242" t="s">
        <v>48</v>
      </c>
      <c r="I242" t="s">
        <v>287</v>
      </c>
      <c r="J242" t="s">
        <v>50</v>
      </c>
      <c r="K242">
        <v>27.3</v>
      </c>
      <c r="L242">
        <v>31.9</v>
      </c>
      <c r="M242">
        <v>1.9</v>
      </c>
      <c r="N242">
        <v>7979</v>
      </c>
      <c r="O242">
        <v>53312</v>
      </c>
      <c r="P242">
        <v>1.9</v>
      </c>
      <c r="Q242">
        <v>225</v>
      </c>
      <c r="R242">
        <v>49.5</v>
      </c>
      <c r="S242">
        <v>4.5599999999999996</v>
      </c>
      <c r="T242" t="s">
        <v>58</v>
      </c>
      <c r="U242">
        <v>34656</v>
      </c>
      <c r="V242">
        <v>12</v>
      </c>
      <c r="W242">
        <v>13</v>
      </c>
      <c r="X242">
        <v>2724</v>
      </c>
      <c r="Y242">
        <v>18.600000000000001</v>
      </c>
      <c r="Z242" t="s">
        <v>326</v>
      </c>
      <c r="AA242">
        <v>62</v>
      </c>
      <c r="AB242">
        <v>38</v>
      </c>
      <c r="AC242" t="s">
        <v>53</v>
      </c>
      <c r="AD242">
        <v>27531</v>
      </c>
      <c r="AE242">
        <v>8883</v>
      </c>
      <c r="AF242">
        <v>1470.93</v>
      </c>
      <c r="AG242">
        <v>24</v>
      </c>
      <c r="AH242">
        <v>95</v>
      </c>
      <c r="AI242">
        <v>29.87127083333333</v>
      </c>
      <c r="AJ242">
        <v>18.23</v>
      </c>
      <c r="AK242">
        <v>14.05</v>
      </c>
      <c r="AL242">
        <v>16.72</v>
      </c>
      <c r="AM242">
        <v>399</v>
      </c>
      <c r="AN242">
        <v>71.62</v>
      </c>
      <c r="AO242">
        <v>20.94</v>
      </c>
      <c r="AP242">
        <v>18.600000000000001</v>
      </c>
      <c r="AQ242">
        <v>12</v>
      </c>
      <c r="AR242">
        <v>28</v>
      </c>
    </row>
    <row r="243" spans="1:44" x14ac:dyDescent="0.3">
      <c r="A243">
        <v>242</v>
      </c>
      <c r="B243" t="s">
        <v>909</v>
      </c>
      <c r="C243">
        <v>2024</v>
      </c>
      <c r="D243">
        <f>400</f>
        <v>400</v>
      </c>
      <c r="E243">
        <v>69</v>
      </c>
      <c r="F243" t="s">
        <v>910</v>
      </c>
      <c r="G243" t="s">
        <v>63</v>
      </c>
      <c r="H243" t="s">
        <v>64</v>
      </c>
      <c r="I243" t="s">
        <v>911</v>
      </c>
      <c r="J243" t="s">
        <v>50</v>
      </c>
      <c r="K243">
        <v>20</v>
      </c>
      <c r="L243">
        <v>13.5</v>
      </c>
      <c r="M243">
        <v>58.7</v>
      </c>
      <c r="N243">
        <v>13280</v>
      </c>
      <c r="O243">
        <v>222</v>
      </c>
      <c r="P243">
        <v>58.7</v>
      </c>
      <c r="Q243">
        <v>321</v>
      </c>
      <c r="R243">
        <v>203</v>
      </c>
      <c r="S243">
        <v>134.05797101449281</v>
      </c>
      <c r="T243" t="s">
        <v>51</v>
      </c>
      <c r="U243">
        <v>28591</v>
      </c>
      <c r="V243">
        <v>8</v>
      </c>
      <c r="W243">
        <v>8</v>
      </c>
      <c r="X243">
        <v>1.6559999999999999</v>
      </c>
      <c r="Y243">
        <v>17.100000000000001</v>
      </c>
      <c r="Z243" t="s">
        <v>102</v>
      </c>
      <c r="AA243">
        <v>46</v>
      </c>
      <c r="AB243">
        <v>54</v>
      </c>
      <c r="AC243" t="s">
        <v>53</v>
      </c>
      <c r="AD243">
        <v>16360</v>
      </c>
      <c r="AE243">
        <v>10756</v>
      </c>
      <c r="AF243">
        <v>647.61</v>
      </c>
      <c r="AG243">
        <v>98</v>
      </c>
      <c r="AH243">
        <v>2</v>
      </c>
      <c r="AI243">
        <v>56.843244897959181</v>
      </c>
      <c r="AJ243">
        <v>29.74</v>
      </c>
      <c r="AK243">
        <v>38.11</v>
      </c>
      <c r="AL243">
        <v>19.260000000000002</v>
      </c>
      <c r="AM243">
        <v>400</v>
      </c>
      <c r="AN243">
        <v>71.55</v>
      </c>
      <c r="AO243">
        <v>116.42</v>
      </c>
      <c r="AP243">
        <v>17.100000000000001</v>
      </c>
      <c r="AQ243">
        <v>8</v>
      </c>
      <c r="AR243">
        <v>27.9</v>
      </c>
    </row>
    <row r="244" spans="1:44" x14ac:dyDescent="0.3">
      <c r="A244">
        <v>243</v>
      </c>
      <c r="B244" t="s">
        <v>912</v>
      </c>
      <c r="C244">
        <v>2024</v>
      </c>
      <c r="D244">
        <f>400</f>
        <v>400</v>
      </c>
      <c r="E244">
        <v>2</v>
      </c>
      <c r="F244" t="s">
        <v>910</v>
      </c>
      <c r="G244" t="s">
        <v>642</v>
      </c>
      <c r="H244" t="s">
        <v>48</v>
      </c>
      <c r="I244" t="s">
        <v>913</v>
      </c>
      <c r="J244" t="s">
        <v>50</v>
      </c>
      <c r="K244">
        <v>23.2</v>
      </c>
      <c r="L244">
        <v>32.200000000000003</v>
      </c>
      <c r="M244">
        <v>15.2</v>
      </c>
      <c r="N244">
        <v>16125</v>
      </c>
      <c r="O244">
        <v>898</v>
      </c>
      <c r="P244">
        <v>15.2</v>
      </c>
      <c r="Q244">
        <v>268</v>
      </c>
      <c r="R244">
        <v>500</v>
      </c>
      <c r="S244">
        <v>474.63002114164908</v>
      </c>
      <c r="T244" t="s">
        <v>58</v>
      </c>
      <c r="U244">
        <v>32789</v>
      </c>
      <c r="V244">
        <v>23</v>
      </c>
      <c r="W244">
        <v>25</v>
      </c>
      <c r="X244">
        <v>1.8919999999999999</v>
      </c>
      <c r="Y244">
        <v>18.399999999999999</v>
      </c>
      <c r="Z244" t="s">
        <v>326</v>
      </c>
      <c r="AA244">
        <v>62</v>
      </c>
      <c r="AB244">
        <v>38</v>
      </c>
      <c r="AC244" t="s">
        <v>53</v>
      </c>
      <c r="AD244">
        <v>24558</v>
      </c>
      <c r="AE244">
        <v>9103</v>
      </c>
      <c r="AF244">
        <v>1055.02</v>
      </c>
      <c r="AG244">
        <v>11</v>
      </c>
      <c r="AH244">
        <v>459</v>
      </c>
      <c r="AI244">
        <v>29.911909090909091</v>
      </c>
      <c r="AJ244">
        <v>21.19</v>
      </c>
      <c r="AK244">
        <v>18.600000000000001</v>
      </c>
      <c r="AL244">
        <v>18.350000000000001</v>
      </c>
      <c r="AM244">
        <v>400</v>
      </c>
      <c r="AN244">
        <v>71.55</v>
      </c>
      <c r="AO244">
        <v>209.12</v>
      </c>
      <c r="AP244">
        <v>18.399999999999999</v>
      </c>
      <c r="AQ244">
        <v>23</v>
      </c>
      <c r="AR244">
        <v>27.9</v>
      </c>
    </row>
    <row r="245" spans="1:44" x14ac:dyDescent="0.3">
      <c r="A245">
        <v>244</v>
      </c>
      <c r="B245" t="s">
        <v>914</v>
      </c>
      <c r="C245">
        <v>2024</v>
      </c>
      <c r="D245" t="s">
        <v>915</v>
      </c>
      <c r="E245">
        <v>6</v>
      </c>
      <c r="F245" t="s">
        <v>916</v>
      </c>
      <c r="G245" t="s">
        <v>481</v>
      </c>
      <c r="H245" t="s">
        <v>48</v>
      </c>
      <c r="I245" t="s">
        <v>917</v>
      </c>
      <c r="J245" t="s">
        <v>50</v>
      </c>
      <c r="K245">
        <v>44</v>
      </c>
      <c r="L245">
        <v>9.8000000000000007</v>
      </c>
      <c r="M245">
        <v>23.3</v>
      </c>
      <c r="N245">
        <v>6671</v>
      </c>
      <c r="O245">
        <v>200</v>
      </c>
      <c r="P245">
        <v>23.3</v>
      </c>
      <c r="Q245">
        <v>254</v>
      </c>
      <c r="R245">
        <v>251</v>
      </c>
      <c r="S245">
        <v>74.571215510812834</v>
      </c>
      <c r="T245" t="s">
        <v>58</v>
      </c>
      <c r="U245">
        <v>55523</v>
      </c>
      <c r="V245">
        <v>9</v>
      </c>
      <c r="W245">
        <v>11</v>
      </c>
      <c r="X245">
        <v>2.6819999999999999</v>
      </c>
      <c r="Y245">
        <v>14.7</v>
      </c>
      <c r="Z245" t="s">
        <v>82</v>
      </c>
      <c r="AA245">
        <v>61</v>
      </c>
      <c r="AB245">
        <v>39</v>
      </c>
      <c r="AC245" t="s">
        <v>53</v>
      </c>
      <c r="AD245">
        <v>30954</v>
      </c>
      <c r="AE245">
        <v>20092</v>
      </c>
      <c r="AF245">
        <v>906.25</v>
      </c>
      <c r="AG245">
        <v>9</v>
      </c>
      <c r="AH245">
        <v>313</v>
      </c>
      <c r="AI245">
        <v>39.444055555555551</v>
      </c>
      <c r="AJ245">
        <v>32.270000000000003</v>
      </c>
      <c r="AK245">
        <v>29.18</v>
      </c>
      <c r="AL245">
        <v>17.100000000000001</v>
      </c>
      <c r="AM245">
        <v>403</v>
      </c>
      <c r="AN245">
        <v>71.34</v>
      </c>
      <c r="AO245">
        <v>114.38</v>
      </c>
      <c r="AP245">
        <v>14.7</v>
      </c>
      <c r="AQ245">
        <v>9</v>
      </c>
      <c r="AR245">
        <v>27.8</v>
      </c>
    </row>
    <row r="246" spans="1:44" x14ac:dyDescent="0.3">
      <c r="A246">
        <v>245</v>
      </c>
      <c r="B246" t="s">
        <v>918</v>
      </c>
      <c r="C246">
        <v>2024</v>
      </c>
      <c r="D246">
        <f>404</f>
        <v>404</v>
      </c>
      <c r="E246">
        <v>6</v>
      </c>
      <c r="F246" t="s">
        <v>919</v>
      </c>
      <c r="G246" t="s">
        <v>811</v>
      </c>
      <c r="H246" t="s">
        <v>100</v>
      </c>
      <c r="I246" t="s">
        <v>920</v>
      </c>
      <c r="J246" t="s">
        <v>50</v>
      </c>
      <c r="K246">
        <v>24.2</v>
      </c>
      <c r="L246">
        <v>60.4</v>
      </c>
      <c r="M246">
        <v>13.3</v>
      </c>
      <c r="N246">
        <v>5217</v>
      </c>
      <c r="O246">
        <v>405</v>
      </c>
      <c r="P246">
        <v>13.3</v>
      </c>
      <c r="Q246">
        <v>142</v>
      </c>
      <c r="R246">
        <v>587</v>
      </c>
      <c r="S246">
        <v>225</v>
      </c>
      <c r="T246" t="s">
        <v>77</v>
      </c>
      <c r="U246">
        <v>19055</v>
      </c>
      <c r="V246">
        <v>14</v>
      </c>
      <c r="W246">
        <v>15</v>
      </c>
      <c r="X246">
        <v>1.8</v>
      </c>
      <c r="Y246">
        <v>25.8</v>
      </c>
      <c r="Z246" t="s">
        <v>78</v>
      </c>
      <c r="AA246">
        <v>42</v>
      </c>
      <c r="AB246">
        <v>58</v>
      </c>
      <c r="AC246" t="s">
        <v>53</v>
      </c>
      <c r="AD246">
        <v>11401</v>
      </c>
      <c r="AE246">
        <v>6636</v>
      </c>
      <c r="AF246">
        <v>913.31</v>
      </c>
      <c r="AG246">
        <v>10</v>
      </c>
      <c r="AH246">
        <v>382</v>
      </c>
      <c r="AI246">
        <v>34.574950000000001</v>
      </c>
      <c r="AJ246">
        <v>18.27</v>
      </c>
      <c r="AK246">
        <v>15.63</v>
      </c>
      <c r="AL246">
        <v>16.420000000000002</v>
      </c>
      <c r="AM246">
        <v>404</v>
      </c>
      <c r="AN246">
        <v>71.27</v>
      </c>
      <c r="AO246">
        <v>242.78</v>
      </c>
      <c r="AP246">
        <v>25.8</v>
      </c>
      <c r="AQ246">
        <v>14</v>
      </c>
      <c r="AR246">
        <v>27.6</v>
      </c>
    </row>
    <row r="247" spans="1:44" x14ac:dyDescent="0.3">
      <c r="A247">
        <v>246</v>
      </c>
      <c r="B247" t="s">
        <v>921</v>
      </c>
      <c r="C247">
        <v>2024</v>
      </c>
      <c r="D247">
        <f>404</f>
        <v>404</v>
      </c>
      <c r="E247">
        <v>87</v>
      </c>
      <c r="F247" t="s">
        <v>919</v>
      </c>
      <c r="G247" t="s">
        <v>63</v>
      </c>
      <c r="H247" t="s">
        <v>64</v>
      </c>
      <c r="I247" t="s">
        <v>922</v>
      </c>
      <c r="J247" t="s">
        <v>50</v>
      </c>
      <c r="K247">
        <v>17.5</v>
      </c>
      <c r="L247">
        <v>7</v>
      </c>
      <c r="M247">
        <v>59.9</v>
      </c>
      <c r="N247">
        <v>10118</v>
      </c>
      <c r="O247">
        <v>200</v>
      </c>
      <c r="P247">
        <v>59.9</v>
      </c>
      <c r="Q247">
        <v>311</v>
      </c>
      <c r="R247">
        <v>328</v>
      </c>
      <c r="S247">
        <v>133.60053440213761</v>
      </c>
      <c r="T247" t="s">
        <v>51</v>
      </c>
      <c r="U247">
        <v>25670</v>
      </c>
      <c r="V247">
        <v>14</v>
      </c>
      <c r="W247">
        <v>16</v>
      </c>
      <c r="X247">
        <v>1.4970000000000001</v>
      </c>
      <c r="Y247">
        <v>19.600000000000001</v>
      </c>
      <c r="Z247" t="s">
        <v>337</v>
      </c>
      <c r="AA247">
        <v>51</v>
      </c>
      <c r="AB247">
        <v>49</v>
      </c>
      <c r="AC247" t="s">
        <v>53</v>
      </c>
      <c r="AD247">
        <v>18634</v>
      </c>
      <c r="AE247">
        <v>6599</v>
      </c>
      <c r="AF247">
        <v>647.61</v>
      </c>
      <c r="AG247">
        <v>98</v>
      </c>
      <c r="AH247">
        <v>2</v>
      </c>
      <c r="AI247">
        <v>56.843244897959181</v>
      </c>
      <c r="AJ247">
        <v>29.74</v>
      </c>
      <c r="AK247">
        <v>38.11</v>
      </c>
      <c r="AL247">
        <v>19.260000000000002</v>
      </c>
      <c r="AM247">
        <v>404</v>
      </c>
      <c r="AN247">
        <v>71.27</v>
      </c>
      <c r="AO247">
        <v>167.14</v>
      </c>
      <c r="AP247">
        <v>19.600000000000001</v>
      </c>
      <c r="AQ247">
        <v>14</v>
      </c>
      <c r="AR247">
        <v>27.6</v>
      </c>
    </row>
    <row r="248" spans="1:44" x14ac:dyDescent="0.3">
      <c r="A248">
        <v>247</v>
      </c>
      <c r="B248" t="s">
        <v>923</v>
      </c>
      <c r="C248">
        <v>2024</v>
      </c>
      <c r="D248">
        <f>404</f>
        <v>404</v>
      </c>
      <c r="E248">
        <v>1</v>
      </c>
      <c r="F248" t="s">
        <v>919</v>
      </c>
      <c r="G248" t="s">
        <v>924</v>
      </c>
      <c r="H248" t="s">
        <v>100</v>
      </c>
      <c r="I248" t="s">
        <v>925</v>
      </c>
      <c r="J248" t="s">
        <v>50</v>
      </c>
      <c r="K248">
        <v>34.4</v>
      </c>
      <c r="L248">
        <v>58.9</v>
      </c>
      <c r="M248">
        <v>1.9</v>
      </c>
      <c r="N248">
        <v>3559</v>
      </c>
      <c r="O248">
        <v>13335</v>
      </c>
      <c r="P248">
        <v>1.9</v>
      </c>
      <c r="Q248">
        <v>118</v>
      </c>
      <c r="R248">
        <v>26.9</v>
      </c>
      <c r="S248">
        <v>0.82</v>
      </c>
      <c r="T248" t="s">
        <v>51</v>
      </c>
      <c r="U248">
        <v>53676</v>
      </c>
      <c r="V248">
        <v>0</v>
      </c>
      <c r="W248">
        <v>0</v>
      </c>
      <c r="X248">
        <v>4.4800000000000004</v>
      </c>
      <c r="Y248">
        <v>11.1</v>
      </c>
      <c r="Z248" t="s">
        <v>82</v>
      </c>
      <c r="AA248">
        <v>57</v>
      </c>
      <c r="AB248">
        <v>43</v>
      </c>
      <c r="AC248" t="s">
        <v>53</v>
      </c>
      <c r="AD248">
        <v>38627</v>
      </c>
      <c r="AE248">
        <v>15778</v>
      </c>
      <c r="AF248">
        <v>1052</v>
      </c>
      <c r="AG248">
        <v>4</v>
      </c>
      <c r="AH248">
        <v>1050</v>
      </c>
      <c r="AI248">
        <v>25.698499999999999</v>
      </c>
      <c r="AJ248">
        <v>27.65</v>
      </c>
      <c r="AK248">
        <v>8.1300000000000008</v>
      </c>
      <c r="AL248">
        <v>6.39</v>
      </c>
      <c r="AM248">
        <v>404</v>
      </c>
      <c r="AN248">
        <v>71.27</v>
      </c>
      <c r="AO248">
        <v>11.9</v>
      </c>
      <c r="AP248">
        <v>11.1</v>
      </c>
      <c r="AQ248">
        <v>0</v>
      </c>
      <c r="AR248">
        <v>27.6</v>
      </c>
    </row>
    <row r="249" spans="1:44" x14ac:dyDescent="0.3">
      <c r="A249">
        <v>248</v>
      </c>
      <c r="B249" t="s">
        <v>926</v>
      </c>
      <c r="C249">
        <v>2024</v>
      </c>
      <c r="D249">
        <f>407</f>
        <v>407</v>
      </c>
      <c r="E249">
        <v>7</v>
      </c>
      <c r="F249" t="s">
        <v>927</v>
      </c>
      <c r="G249" t="s">
        <v>590</v>
      </c>
      <c r="H249" t="s">
        <v>100</v>
      </c>
      <c r="I249" t="s">
        <v>928</v>
      </c>
      <c r="J249" t="s">
        <v>50</v>
      </c>
      <c r="K249">
        <v>36.1</v>
      </c>
      <c r="L249">
        <v>28.2</v>
      </c>
      <c r="M249">
        <v>22.5</v>
      </c>
      <c r="N249">
        <v>3415</v>
      </c>
      <c r="O249">
        <v>1001</v>
      </c>
      <c r="P249">
        <v>22.5</v>
      </c>
      <c r="Q249">
        <v>254</v>
      </c>
      <c r="R249">
        <v>569</v>
      </c>
      <c r="S249">
        <v>854.82493595217761</v>
      </c>
      <c r="T249" t="s">
        <v>77</v>
      </c>
      <c r="U249">
        <v>29532</v>
      </c>
      <c r="V249">
        <v>1</v>
      </c>
      <c r="W249">
        <v>2</v>
      </c>
      <c r="X249">
        <v>1.171</v>
      </c>
      <c r="Y249">
        <v>23.8</v>
      </c>
      <c r="Z249" t="s">
        <v>52</v>
      </c>
      <c r="AA249">
        <v>47</v>
      </c>
      <c r="AB249">
        <v>53</v>
      </c>
      <c r="AC249" t="s">
        <v>53</v>
      </c>
      <c r="AD249">
        <v>17467</v>
      </c>
      <c r="AE249">
        <v>6737</v>
      </c>
      <c r="AF249">
        <v>1100.42</v>
      </c>
      <c r="AG249">
        <v>16</v>
      </c>
      <c r="AH249">
        <v>218</v>
      </c>
      <c r="AI249">
        <v>38.128875000000001</v>
      </c>
      <c r="AJ249">
        <v>27.22</v>
      </c>
      <c r="AK249">
        <v>36.06</v>
      </c>
      <c r="AL249">
        <v>6.8</v>
      </c>
      <c r="AM249">
        <v>407</v>
      </c>
      <c r="AN249">
        <v>71.05</v>
      </c>
      <c r="AO249">
        <v>241.1</v>
      </c>
      <c r="AP249">
        <v>23.8</v>
      </c>
      <c r="AQ249">
        <v>1</v>
      </c>
      <c r="AR249">
        <v>27.4</v>
      </c>
    </row>
    <row r="250" spans="1:44" x14ac:dyDescent="0.3">
      <c r="A250">
        <v>249</v>
      </c>
      <c r="B250" t="s">
        <v>929</v>
      </c>
      <c r="C250">
        <v>2024</v>
      </c>
      <c r="D250">
        <f>410</f>
        <v>410</v>
      </c>
      <c r="E250">
        <v>83</v>
      </c>
      <c r="F250" t="s">
        <v>930</v>
      </c>
      <c r="G250" t="s">
        <v>63</v>
      </c>
      <c r="H250" t="s">
        <v>64</v>
      </c>
      <c r="I250" t="s">
        <v>931</v>
      </c>
      <c r="J250" t="s">
        <v>50</v>
      </c>
      <c r="K250">
        <v>15.1</v>
      </c>
      <c r="L250">
        <v>13.3</v>
      </c>
      <c r="M250">
        <v>9</v>
      </c>
      <c r="N250">
        <v>4010</v>
      </c>
      <c r="O250">
        <v>121</v>
      </c>
      <c r="P250">
        <v>9</v>
      </c>
      <c r="Q250">
        <v>177</v>
      </c>
      <c r="R250">
        <v>243</v>
      </c>
      <c r="S250">
        <v>36.04408698242478</v>
      </c>
      <c r="T250" t="s">
        <v>51</v>
      </c>
      <c r="U250">
        <v>23410</v>
      </c>
      <c r="V250">
        <v>7</v>
      </c>
      <c r="W250">
        <v>7</v>
      </c>
      <c r="X250">
        <v>3.3570000000000002</v>
      </c>
      <c r="Y250">
        <v>9.5</v>
      </c>
      <c r="Z250" t="s">
        <v>337</v>
      </c>
      <c r="AA250">
        <v>54</v>
      </c>
      <c r="AB250">
        <v>46</v>
      </c>
      <c r="AC250" t="s">
        <v>53</v>
      </c>
      <c r="AD250">
        <v>17514</v>
      </c>
      <c r="AE250">
        <v>6263</v>
      </c>
      <c r="AF250">
        <v>647.61</v>
      </c>
      <c r="AG250">
        <v>98</v>
      </c>
      <c r="AH250">
        <v>2</v>
      </c>
      <c r="AI250">
        <v>56.843244897959181</v>
      </c>
      <c r="AJ250">
        <v>29.74</v>
      </c>
      <c r="AK250">
        <v>38.11</v>
      </c>
      <c r="AL250">
        <v>19.260000000000002</v>
      </c>
      <c r="AM250">
        <v>410</v>
      </c>
      <c r="AN250">
        <v>70.84</v>
      </c>
      <c r="AO250">
        <v>102.6</v>
      </c>
      <c r="AP250">
        <v>9.5</v>
      </c>
      <c r="AQ250">
        <v>7</v>
      </c>
      <c r="AR250">
        <v>27.2</v>
      </c>
    </row>
    <row r="251" spans="1:44" x14ac:dyDescent="0.3">
      <c r="A251">
        <v>250</v>
      </c>
      <c r="B251" t="s">
        <v>932</v>
      </c>
      <c r="C251">
        <v>2024</v>
      </c>
      <c r="D251">
        <f>413</f>
        <v>413</v>
      </c>
      <c r="E251">
        <v>46</v>
      </c>
      <c r="F251" t="s">
        <v>933</v>
      </c>
      <c r="G251" t="s">
        <v>47</v>
      </c>
      <c r="H251" t="s">
        <v>48</v>
      </c>
      <c r="I251" t="s">
        <v>57</v>
      </c>
      <c r="J251" t="s">
        <v>50</v>
      </c>
      <c r="K251">
        <v>28.9</v>
      </c>
      <c r="L251">
        <v>29.7</v>
      </c>
      <c r="M251">
        <v>8.4</v>
      </c>
      <c r="N251">
        <v>4286</v>
      </c>
      <c r="O251">
        <v>11168</v>
      </c>
      <c r="P251">
        <v>8.4</v>
      </c>
      <c r="Q251">
        <v>105</v>
      </c>
      <c r="R251">
        <v>25.6</v>
      </c>
      <c r="S251">
        <v>3.75</v>
      </c>
      <c r="T251" t="s">
        <v>71</v>
      </c>
      <c r="U251">
        <v>13860</v>
      </c>
      <c r="V251">
        <v>25</v>
      </c>
      <c r="W251">
        <v>30</v>
      </c>
      <c r="X251">
        <v>1471</v>
      </c>
      <c r="Y251">
        <v>14</v>
      </c>
      <c r="Z251" t="s">
        <v>110</v>
      </c>
      <c r="AA251">
        <v>56</v>
      </c>
      <c r="AB251">
        <v>44</v>
      </c>
      <c r="AC251" t="s">
        <v>53</v>
      </c>
      <c r="AD251">
        <v>10328</v>
      </c>
      <c r="AE251">
        <v>3602</v>
      </c>
      <c r="AF251">
        <v>614.48</v>
      </c>
      <c r="AG251">
        <v>69</v>
      </c>
      <c r="AH251">
        <v>1</v>
      </c>
      <c r="AI251">
        <v>50.817340579710141</v>
      </c>
      <c r="AJ251">
        <v>35.82</v>
      </c>
      <c r="AK251">
        <v>38.92</v>
      </c>
      <c r="AL251">
        <v>35.29</v>
      </c>
      <c r="AM251">
        <v>413</v>
      </c>
      <c r="AN251">
        <v>70.62</v>
      </c>
      <c r="AO251">
        <v>15.28</v>
      </c>
      <c r="AP251">
        <v>14</v>
      </c>
      <c r="AQ251">
        <v>25</v>
      </c>
      <c r="AR251">
        <v>27.1</v>
      </c>
    </row>
    <row r="252" spans="1:44" x14ac:dyDescent="0.3">
      <c r="A252">
        <v>251</v>
      </c>
      <c r="B252" t="s">
        <v>934</v>
      </c>
      <c r="C252">
        <v>2024</v>
      </c>
      <c r="D252">
        <f>415</f>
        <v>415</v>
      </c>
      <c r="E252">
        <v>13</v>
      </c>
      <c r="F252" t="s">
        <v>935</v>
      </c>
      <c r="G252" t="s">
        <v>107</v>
      </c>
      <c r="H252" t="s">
        <v>108</v>
      </c>
      <c r="I252" t="s">
        <v>936</v>
      </c>
      <c r="J252" t="s">
        <v>50</v>
      </c>
      <c r="K252">
        <v>15.4</v>
      </c>
      <c r="L252">
        <v>8.6999999999999993</v>
      </c>
      <c r="M252">
        <v>51.1</v>
      </c>
      <c r="N252">
        <v>1402</v>
      </c>
      <c r="O252">
        <v>327</v>
      </c>
      <c r="P252">
        <v>51.1</v>
      </c>
      <c r="Q252">
        <v>169</v>
      </c>
      <c r="R252">
        <v>537</v>
      </c>
      <c r="S252">
        <v>0.1112244897959183</v>
      </c>
      <c r="T252" t="s">
        <v>71</v>
      </c>
      <c r="U252">
        <v>9759</v>
      </c>
      <c r="V252">
        <v>9</v>
      </c>
      <c r="W252">
        <v>14</v>
      </c>
      <c r="X252">
        <v>2940</v>
      </c>
      <c r="Y252">
        <v>17.3</v>
      </c>
      <c r="Z252" t="s">
        <v>368</v>
      </c>
      <c r="AA252">
        <v>66</v>
      </c>
      <c r="AB252">
        <v>34</v>
      </c>
      <c r="AC252" t="s">
        <v>53</v>
      </c>
      <c r="AD252">
        <v>6420</v>
      </c>
      <c r="AE252">
        <v>2745</v>
      </c>
      <c r="AF252">
        <v>373.87</v>
      </c>
      <c r="AG252">
        <v>21</v>
      </c>
      <c r="AH252">
        <v>54</v>
      </c>
      <c r="AI252">
        <v>57.368190476190478</v>
      </c>
      <c r="AJ252">
        <v>42.18</v>
      </c>
      <c r="AK252">
        <v>66.97</v>
      </c>
      <c r="AL252">
        <v>30.67</v>
      </c>
      <c r="AM252">
        <v>415</v>
      </c>
      <c r="AN252">
        <v>70.48</v>
      </c>
      <c r="AO252">
        <v>245.46</v>
      </c>
      <c r="AP252">
        <v>17.3</v>
      </c>
      <c r="AQ252">
        <v>9</v>
      </c>
      <c r="AR252">
        <v>27</v>
      </c>
    </row>
    <row r="253" spans="1:44" x14ac:dyDescent="0.3">
      <c r="A253">
        <v>252</v>
      </c>
      <c r="B253" t="s">
        <v>937</v>
      </c>
      <c r="C253">
        <v>2024</v>
      </c>
      <c r="D253" t="s">
        <v>938</v>
      </c>
      <c r="E253">
        <v>10</v>
      </c>
      <c r="F253" t="s">
        <v>939</v>
      </c>
      <c r="G253" t="s">
        <v>286</v>
      </c>
      <c r="H253" t="s">
        <v>48</v>
      </c>
      <c r="I253" t="s">
        <v>940</v>
      </c>
      <c r="J253" t="s">
        <v>50</v>
      </c>
      <c r="K253">
        <v>23.1</v>
      </c>
      <c r="L253">
        <v>10.9</v>
      </c>
      <c r="M253">
        <v>5.0999999999999996</v>
      </c>
      <c r="N253">
        <v>5136</v>
      </c>
      <c r="O253">
        <v>4895</v>
      </c>
      <c r="P253">
        <v>5.0999999999999996</v>
      </c>
      <c r="Q253">
        <v>82</v>
      </c>
      <c r="R253">
        <v>16.2</v>
      </c>
      <c r="S253">
        <v>5.01</v>
      </c>
      <c r="T253" t="s">
        <v>96</v>
      </c>
      <c r="U253">
        <v>7930</v>
      </c>
      <c r="V253">
        <v>37</v>
      </c>
      <c r="W253">
        <v>37</v>
      </c>
      <c r="X253">
        <v>1742</v>
      </c>
      <c r="Y253">
        <v>11.6</v>
      </c>
      <c r="Z253" t="s">
        <v>133</v>
      </c>
      <c r="AA253">
        <v>49.555519670000002</v>
      </c>
      <c r="AB253">
        <v>50.444480329999998</v>
      </c>
      <c r="AC253" t="s">
        <v>53</v>
      </c>
      <c r="AD253">
        <v>5107</v>
      </c>
      <c r="AE253">
        <v>2878</v>
      </c>
      <c r="AF253">
        <v>1470.93</v>
      </c>
      <c r="AG253">
        <v>24</v>
      </c>
      <c r="AH253">
        <v>95</v>
      </c>
      <c r="AI253">
        <v>29.87127083333333</v>
      </c>
      <c r="AJ253">
        <v>18.23</v>
      </c>
      <c r="AK253">
        <v>14.05</v>
      </c>
      <c r="AL253">
        <v>16.72</v>
      </c>
      <c r="AM253">
        <v>418</v>
      </c>
      <c r="AN253">
        <v>70.260000000000005</v>
      </c>
      <c r="AO253">
        <v>9.5399999999999991</v>
      </c>
      <c r="AP253">
        <v>11.6</v>
      </c>
      <c r="AQ253">
        <v>37</v>
      </c>
      <c r="AR253">
        <v>26.9</v>
      </c>
    </row>
    <row r="254" spans="1:44" x14ac:dyDescent="0.3">
      <c r="A254">
        <v>253</v>
      </c>
      <c r="B254" t="s">
        <v>941</v>
      </c>
      <c r="C254">
        <v>2024</v>
      </c>
      <c r="D254">
        <f>419</f>
        <v>419</v>
      </c>
      <c r="E254">
        <v>99</v>
      </c>
      <c r="F254" t="s">
        <v>942</v>
      </c>
      <c r="G254" t="s">
        <v>63</v>
      </c>
      <c r="H254" t="s">
        <v>64</v>
      </c>
      <c r="I254" t="s">
        <v>943</v>
      </c>
      <c r="J254" t="s">
        <v>50</v>
      </c>
      <c r="K254">
        <v>24.4</v>
      </c>
      <c r="L254">
        <v>17.899999999999999</v>
      </c>
      <c r="M254">
        <v>35.4</v>
      </c>
      <c r="N254">
        <v>6188</v>
      </c>
      <c r="O254">
        <v>460</v>
      </c>
      <c r="P254">
        <v>35.4</v>
      </c>
      <c r="Q254">
        <v>272</v>
      </c>
      <c r="R254">
        <v>321</v>
      </c>
      <c r="S254">
        <v>237.7260981912145</v>
      </c>
      <c r="T254" t="s">
        <v>77</v>
      </c>
      <c r="U254">
        <v>28896</v>
      </c>
      <c r="V254">
        <v>6</v>
      </c>
      <c r="W254">
        <v>6</v>
      </c>
      <c r="X254">
        <v>1.9350000000000001</v>
      </c>
      <c r="Y254">
        <v>18.8</v>
      </c>
      <c r="Z254" t="s">
        <v>146</v>
      </c>
      <c r="AA254">
        <v>54</v>
      </c>
      <c r="AB254">
        <v>46</v>
      </c>
      <c r="AC254" t="s">
        <v>53</v>
      </c>
      <c r="AD254">
        <v>15373</v>
      </c>
      <c r="AE254">
        <v>10131</v>
      </c>
      <c r="AF254">
        <v>647.61</v>
      </c>
      <c r="AG254">
        <v>98</v>
      </c>
      <c r="AH254">
        <v>2</v>
      </c>
      <c r="AI254">
        <v>56.843244897959181</v>
      </c>
      <c r="AJ254">
        <v>29.74</v>
      </c>
      <c r="AK254">
        <v>38.11</v>
      </c>
      <c r="AL254">
        <v>19.260000000000002</v>
      </c>
      <c r="AM254">
        <v>419</v>
      </c>
      <c r="AN254">
        <v>70.19</v>
      </c>
      <c r="AO254">
        <v>149.63999999999999</v>
      </c>
      <c r="AP254">
        <v>18.8</v>
      </c>
      <c r="AQ254">
        <v>6</v>
      </c>
      <c r="AR254">
        <v>26.8</v>
      </c>
    </row>
    <row r="255" spans="1:44" x14ac:dyDescent="0.3">
      <c r="A255">
        <v>254</v>
      </c>
      <c r="B255" t="s">
        <v>944</v>
      </c>
      <c r="C255">
        <v>2024</v>
      </c>
      <c r="D255">
        <f>421</f>
        <v>421</v>
      </c>
      <c r="E255">
        <v>8</v>
      </c>
      <c r="F255" t="s">
        <v>945</v>
      </c>
      <c r="G255" t="s">
        <v>410</v>
      </c>
      <c r="H255" t="s">
        <v>48</v>
      </c>
      <c r="I255" t="s">
        <v>946</v>
      </c>
      <c r="J255" t="s">
        <v>50</v>
      </c>
      <c r="K255">
        <v>14.5</v>
      </c>
      <c r="L255">
        <v>11</v>
      </c>
      <c r="M255">
        <v>13.6</v>
      </c>
      <c r="N255">
        <v>1536</v>
      </c>
      <c r="O255">
        <v>460</v>
      </c>
      <c r="P255">
        <v>13.6</v>
      </c>
      <c r="Q255">
        <v>89</v>
      </c>
      <c r="R255">
        <v>780</v>
      </c>
      <c r="S255">
        <v>0.32235459004905398</v>
      </c>
      <c r="T255" t="s">
        <v>96</v>
      </c>
      <c r="U255">
        <v>6660</v>
      </c>
      <c r="V255">
        <v>24</v>
      </c>
      <c r="W255">
        <v>26</v>
      </c>
      <c r="X255">
        <v>1427</v>
      </c>
      <c r="Y255">
        <v>8.1999999999999993</v>
      </c>
      <c r="Z255" t="s">
        <v>797</v>
      </c>
      <c r="AA255">
        <v>27</v>
      </c>
      <c r="AB255">
        <v>73</v>
      </c>
      <c r="AC255" t="s">
        <v>53</v>
      </c>
      <c r="AD255">
        <v>4122</v>
      </c>
      <c r="AE255">
        <v>2612</v>
      </c>
      <c r="AF255">
        <v>435</v>
      </c>
      <c r="AG255">
        <v>3</v>
      </c>
      <c r="AH255">
        <v>119</v>
      </c>
      <c r="AI255">
        <v>51.205833333333331</v>
      </c>
      <c r="AJ255">
        <v>43.87</v>
      </c>
      <c r="AK255">
        <v>38.33</v>
      </c>
      <c r="AL255">
        <v>33</v>
      </c>
      <c r="AM255">
        <v>421</v>
      </c>
      <c r="AN255">
        <v>70.05</v>
      </c>
      <c r="AO255">
        <v>320.16000000000003</v>
      </c>
      <c r="AP255">
        <v>8.1999999999999993</v>
      </c>
      <c r="AQ255">
        <v>24</v>
      </c>
      <c r="AR255">
        <v>26.7</v>
      </c>
    </row>
    <row r="256" spans="1:44" x14ac:dyDescent="0.3">
      <c r="A256">
        <v>255</v>
      </c>
      <c r="B256" t="s">
        <v>947</v>
      </c>
      <c r="C256">
        <v>2024</v>
      </c>
      <c r="D256">
        <f>421</f>
        <v>421</v>
      </c>
      <c r="E256">
        <v>4</v>
      </c>
      <c r="F256" t="s">
        <v>945</v>
      </c>
      <c r="G256" t="s">
        <v>286</v>
      </c>
      <c r="H256" t="s">
        <v>48</v>
      </c>
      <c r="I256" t="s">
        <v>948</v>
      </c>
      <c r="J256" t="s">
        <v>50</v>
      </c>
      <c r="K256">
        <v>27.5</v>
      </c>
      <c r="L256">
        <v>14.4</v>
      </c>
      <c r="M256">
        <v>12.6</v>
      </c>
      <c r="N256">
        <v>1559</v>
      </c>
      <c r="O256">
        <v>541</v>
      </c>
      <c r="P256">
        <v>12.6</v>
      </c>
      <c r="Q256">
        <v>68</v>
      </c>
      <c r="R256">
        <v>509</v>
      </c>
      <c r="S256">
        <v>0.44417077175697861</v>
      </c>
      <c r="T256" t="s">
        <v>51</v>
      </c>
      <c r="U256">
        <v>7264</v>
      </c>
      <c r="V256">
        <v>20</v>
      </c>
      <c r="W256">
        <v>23</v>
      </c>
      <c r="X256">
        <v>1218</v>
      </c>
      <c r="Y256">
        <v>6.6</v>
      </c>
      <c r="Z256" t="s">
        <v>52</v>
      </c>
      <c r="AA256">
        <v>47.500478880000003</v>
      </c>
      <c r="AB256">
        <v>52.499521119999997</v>
      </c>
      <c r="AC256" t="s">
        <v>53</v>
      </c>
      <c r="AD256">
        <v>4874</v>
      </c>
      <c r="AE256">
        <v>2426</v>
      </c>
      <c r="AF256">
        <v>1470.93</v>
      </c>
      <c r="AG256">
        <v>24</v>
      </c>
      <c r="AH256">
        <v>95</v>
      </c>
      <c r="AI256">
        <v>29.87127083333333</v>
      </c>
      <c r="AJ256">
        <v>18.23</v>
      </c>
      <c r="AK256">
        <v>14.05</v>
      </c>
      <c r="AL256">
        <v>16.72</v>
      </c>
      <c r="AM256">
        <v>421</v>
      </c>
      <c r="AN256">
        <v>70.05</v>
      </c>
      <c r="AO256">
        <v>211.16</v>
      </c>
      <c r="AP256">
        <v>6.6</v>
      </c>
      <c r="AQ256">
        <v>20</v>
      </c>
      <c r="AR256">
        <v>26.7</v>
      </c>
    </row>
    <row r="257" spans="1:44" x14ac:dyDescent="0.3">
      <c r="A257">
        <v>256</v>
      </c>
      <c r="B257" t="s">
        <v>949</v>
      </c>
      <c r="C257">
        <v>2024</v>
      </c>
      <c r="D257" t="s">
        <v>950</v>
      </c>
      <c r="E257">
        <v>6</v>
      </c>
      <c r="F257" t="s">
        <v>951</v>
      </c>
      <c r="G257" t="s">
        <v>484</v>
      </c>
      <c r="H257" t="s">
        <v>48</v>
      </c>
      <c r="I257" t="s">
        <v>952</v>
      </c>
      <c r="J257" t="s">
        <v>50</v>
      </c>
      <c r="K257">
        <v>17.5</v>
      </c>
      <c r="L257">
        <v>29.1</v>
      </c>
      <c r="M257">
        <v>21.9</v>
      </c>
      <c r="N257">
        <v>1900</v>
      </c>
      <c r="O257">
        <v>898</v>
      </c>
      <c r="P257">
        <v>21.9</v>
      </c>
      <c r="Q257">
        <v>149</v>
      </c>
      <c r="R257">
        <v>927</v>
      </c>
      <c r="S257">
        <v>0.94327731092436962</v>
      </c>
      <c r="T257" t="s">
        <v>51</v>
      </c>
      <c r="U257">
        <v>14640</v>
      </c>
      <c r="V257">
        <v>15</v>
      </c>
      <c r="W257">
        <v>18</v>
      </c>
      <c r="X257">
        <v>952</v>
      </c>
      <c r="Y257">
        <v>27.1</v>
      </c>
      <c r="Z257" t="s">
        <v>133</v>
      </c>
      <c r="AA257">
        <v>52</v>
      </c>
      <c r="AB257">
        <v>48</v>
      </c>
      <c r="AC257" t="s">
        <v>53</v>
      </c>
      <c r="AD257">
        <v>10543</v>
      </c>
      <c r="AE257">
        <v>4148</v>
      </c>
      <c r="AF257">
        <v>440</v>
      </c>
      <c r="AG257">
        <v>7</v>
      </c>
      <c r="AH257">
        <v>231</v>
      </c>
      <c r="AI257">
        <v>47.207928571428567</v>
      </c>
      <c r="AJ257">
        <v>44.34</v>
      </c>
      <c r="AK257">
        <v>40.61</v>
      </c>
      <c r="AL257">
        <v>28.35</v>
      </c>
      <c r="AM257">
        <v>426</v>
      </c>
      <c r="AN257">
        <v>69.69</v>
      </c>
      <c r="AO257">
        <v>383.94</v>
      </c>
      <c r="AP257">
        <v>27.1</v>
      </c>
      <c r="AQ257">
        <v>15</v>
      </c>
      <c r="AR257">
        <v>26.6</v>
      </c>
    </row>
    <row r="258" spans="1:44" x14ac:dyDescent="0.3">
      <c r="A258">
        <v>257</v>
      </c>
      <c r="B258" t="s">
        <v>953</v>
      </c>
      <c r="C258">
        <v>2024</v>
      </c>
      <c r="D258" t="s">
        <v>954</v>
      </c>
      <c r="E258">
        <v>12</v>
      </c>
      <c r="F258" t="s">
        <v>955</v>
      </c>
      <c r="G258" t="s">
        <v>590</v>
      </c>
      <c r="H258" t="s">
        <v>100</v>
      </c>
      <c r="I258" t="s">
        <v>956</v>
      </c>
      <c r="J258" t="s">
        <v>50</v>
      </c>
      <c r="K258">
        <v>8.5</v>
      </c>
      <c r="L258">
        <v>8.5</v>
      </c>
      <c r="M258">
        <v>99.8</v>
      </c>
      <c r="N258">
        <v>3037</v>
      </c>
      <c r="O258">
        <v>66267</v>
      </c>
      <c r="P258">
        <v>99.8</v>
      </c>
      <c r="Q258">
        <v>265</v>
      </c>
      <c r="R258">
        <v>57.4</v>
      </c>
      <c r="S258">
        <v>3.03</v>
      </c>
      <c r="T258" t="s">
        <v>96</v>
      </c>
      <c r="U258">
        <v>12824</v>
      </c>
      <c r="V258">
        <v>1</v>
      </c>
      <c r="W258">
        <v>1</v>
      </c>
      <c r="X258">
        <v>730</v>
      </c>
      <c r="Y258">
        <v>13.1</v>
      </c>
      <c r="Z258" t="s">
        <v>241</v>
      </c>
      <c r="AA258">
        <v>41</v>
      </c>
      <c r="AB258">
        <v>59</v>
      </c>
      <c r="AC258" t="s">
        <v>53</v>
      </c>
      <c r="AD258">
        <v>7743</v>
      </c>
      <c r="AE258">
        <v>3653</v>
      </c>
      <c r="AF258">
        <v>1100.42</v>
      </c>
      <c r="AG258">
        <v>16</v>
      </c>
      <c r="AH258">
        <v>218</v>
      </c>
      <c r="AI258">
        <v>38.128875000000001</v>
      </c>
      <c r="AJ258">
        <v>27.22</v>
      </c>
      <c r="AK258">
        <v>36.06</v>
      </c>
      <c r="AL258">
        <v>6.8</v>
      </c>
      <c r="AM258">
        <v>427</v>
      </c>
      <c r="AN258">
        <v>69.62</v>
      </c>
      <c r="AO258">
        <v>82.84</v>
      </c>
      <c r="AP258">
        <v>13.1</v>
      </c>
      <c r="AQ258">
        <v>1</v>
      </c>
      <c r="AR258">
        <v>26.5</v>
      </c>
    </row>
    <row r="259" spans="1:44" x14ac:dyDescent="0.3">
      <c r="A259">
        <v>258</v>
      </c>
      <c r="B259" t="s">
        <v>957</v>
      </c>
      <c r="C259">
        <v>2024</v>
      </c>
      <c r="D259">
        <f>429</f>
        <v>429</v>
      </c>
      <c r="E259">
        <v>25</v>
      </c>
      <c r="F259" t="s">
        <v>958</v>
      </c>
      <c r="G259" t="s">
        <v>384</v>
      </c>
      <c r="H259" t="s">
        <v>48</v>
      </c>
      <c r="I259" t="s">
        <v>959</v>
      </c>
      <c r="J259" t="s">
        <v>50</v>
      </c>
      <c r="K259">
        <v>24.6</v>
      </c>
      <c r="L259">
        <v>8.9</v>
      </c>
      <c r="M259">
        <v>44</v>
      </c>
      <c r="N259">
        <v>1570</v>
      </c>
      <c r="O259">
        <v>405</v>
      </c>
      <c r="P259">
        <v>44</v>
      </c>
      <c r="Q259">
        <v>131</v>
      </c>
      <c r="R259">
        <v>565</v>
      </c>
      <c r="S259">
        <v>379.92495309568483</v>
      </c>
      <c r="T259" t="s">
        <v>71</v>
      </c>
      <c r="U259">
        <v>14100</v>
      </c>
      <c r="V259">
        <v>7</v>
      </c>
      <c r="W259">
        <v>9</v>
      </c>
      <c r="X259">
        <v>1.0660000000000001</v>
      </c>
      <c r="Y259">
        <v>18.399999999999999</v>
      </c>
      <c r="Z259" t="s">
        <v>66</v>
      </c>
      <c r="AA259">
        <v>53</v>
      </c>
      <c r="AB259">
        <v>47</v>
      </c>
      <c r="AC259" t="s">
        <v>53</v>
      </c>
      <c r="AD259">
        <v>6499</v>
      </c>
      <c r="AE259">
        <v>7684</v>
      </c>
      <c r="AF259">
        <v>644.77</v>
      </c>
      <c r="AG259">
        <v>18</v>
      </c>
      <c r="AH259">
        <v>181</v>
      </c>
      <c r="AI259">
        <v>47.393000000000001</v>
      </c>
      <c r="AJ259">
        <v>35.17</v>
      </c>
      <c r="AK259">
        <v>47.49</v>
      </c>
      <c r="AL259">
        <v>13.04</v>
      </c>
      <c r="AM259">
        <v>429</v>
      </c>
      <c r="AN259">
        <v>69.48</v>
      </c>
      <c r="AO259">
        <v>252.4</v>
      </c>
      <c r="AP259">
        <v>18.399999999999999</v>
      </c>
      <c r="AQ259">
        <v>7</v>
      </c>
      <c r="AR259">
        <v>26.3</v>
      </c>
    </row>
    <row r="260" spans="1:44" x14ac:dyDescent="0.3">
      <c r="A260">
        <v>259</v>
      </c>
      <c r="B260" t="s">
        <v>960</v>
      </c>
      <c r="C260">
        <v>2024</v>
      </c>
      <c r="D260">
        <f>431</f>
        <v>431</v>
      </c>
      <c r="E260">
        <v>1</v>
      </c>
      <c r="F260" t="s">
        <v>961</v>
      </c>
      <c r="G260" t="s">
        <v>811</v>
      </c>
      <c r="H260" t="s">
        <v>100</v>
      </c>
      <c r="I260" t="s">
        <v>962</v>
      </c>
      <c r="J260" t="s">
        <v>65</v>
      </c>
      <c r="K260">
        <v>22.4</v>
      </c>
      <c r="L260">
        <v>47.3</v>
      </c>
      <c r="M260">
        <v>28.6</v>
      </c>
      <c r="N260">
        <v>1880</v>
      </c>
      <c r="O260">
        <v>17780</v>
      </c>
      <c r="P260">
        <v>28.6</v>
      </c>
      <c r="Q260">
        <v>149</v>
      </c>
      <c r="R260">
        <v>53.1</v>
      </c>
      <c r="S260">
        <v>5.01</v>
      </c>
      <c r="T260" t="s">
        <v>58</v>
      </c>
      <c r="U260">
        <v>6427</v>
      </c>
      <c r="V260">
        <v>9</v>
      </c>
      <c r="W260">
        <v>12</v>
      </c>
      <c r="X260">
        <v>560</v>
      </c>
      <c r="Y260">
        <v>19.5</v>
      </c>
      <c r="Z260" t="s">
        <v>59</v>
      </c>
      <c r="AA260">
        <v>49</v>
      </c>
      <c r="AB260">
        <v>51</v>
      </c>
      <c r="AC260" t="s">
        <v>53</v>
      </c>
      <c r="AD260">
        <v>4864</v>
      </c>
      <c r="AE260">
        <v>2247</v>
      </c>
      <c r="AF260">
        <v>1633.16</v>
      </c>
      <c r="AG260">
        <v>10</v>
      </c>
      <c r="AH260">
        <v>382</v>
      </c>
      <c r="AI260">
        <v>34.574950000000001</v>
      </c>
      <c r="AJ260">
        <v>24.91</v>
      </c>
      <c r="AK260">
        <v>23.94</v>
      </c>
      <c r="AL260">
        <v>9.43</v>
      </c>
      <c r="AM260">
        <v>431</v>
      </c>
      <c r="AN260">
        <v>69.34</v>
      </c>
      <c r="AO260">
        <v>38.4</v>
      </c>
      <c r="AP260">
        <v>19.5</v>
      </c>
      <c r="AQ260">
        <v>9</v>
      </c>
      <c r="AR260">
        <v>26.2</v>
      </c>
    </row>
    <row r="261" spans="1:44" x14ac:dyDescent="0.3">
      <c r="A261">
        <v>260</v>
      </c>
      <c r="B261" t="s">
        <v>963</v>
      </c>
      <c r="C261">
        <v>2024</v>
      </c>
      <c r="D261">
        <f>431</f>
        <v>431</v>
      </c>
      <c r="E261">
        <v>25</v>
      </c>
      <c r="F261" t="s">
        <v>961</v>
      </c>
      <c r="G261" t="s">
        <v>107</v>
      </c>
      <c r="H261" t="s">
        <v>108</v>
      </c>
      <c r="I261" t="s">
        <v>964</v>
      </c>
      <c r="J261" t="s">
        <v>50</v>
      </c>
      <c r="K261">
        <v>7.3</v>
      </c>
      <c r="L261">
        <v>5.3</v>
      </c>
      <c r="M261">
        <v>53.1</v>
      </c>
      <c r="N261">
        <v>2949</v>
      </c>
      <c r="O261">
        <v>1001</v>
      </c>
      <c r="P261">
        <v>53.1</v>
      </c>
      <c r="Q261">
        <v>206</v>
      </c>
      <c r="R261">
        <v>856</v>
      </c>
      <c r="S261">
        <v>1.632952691680261</v>
      </c>
      <c r="T261" t="s">
        <v>71</v>
      </c>
      <c r="U261">
        <v>14816</v>
      </c>
      <c r="V261">
        <v>38</v>
      </c>
      <c r="W261">
        <v>53</v>
      </c>
      <c r="X261">
        <v>613</v>
      </c>
      <c r="Y261">
        <v>34</v>
      </c>
      <c r="Z261" t="s">
        <v>326</v>
      </c>
      <c r="AA261">
        <v>54.802375840000003</v>
      </c>
      <c r="AB261">
        <v>45.197624159999997</v>
      </c>
      <c r="AC261" t="s">
        <v>53</v>
      </c>
      <c r="AD261">
        <v>10222</v>
      </c>
      <c r="AE261">
        <v>5593</v>
      </c>
      <c r="AF261">
        <v>373.87</v>
      </c>
      <c r="AG261">
        <v>21</v>
      </c>
      <c r="AH261">
        <v>54</v>
      </c>
      <c r="AI261">
        <v>57.368190476190478</v>
      </c>
      <c r="AJ261">
        <v>42.18</v>
      </c>
      <c r="AK261">
        <v>66.97</v>
      </c>
      <c r="AL261">
        <v>30.67</v>
      </c>
      <c r="AM261">
        <v>431</v>
      </c>
      <c r="AN261">
        <v>69.34</v>
      </c>
      <c r="AO261">
        <v>374.26</v>
      </c>
      <c r="AP261">
        <v>34</v>
      </c>
      <c r="AQ261">
        <v>38</v>
      </c>
      <c r="AR261">
        <v>26.2</v>
      </c>
    </row>
    <row r="262" spans="1:44" x14ac:dyDescent="0.3">
      <c r="A262">
        <v>261</v>
      </c>
      <c r="B262" t="s">
        <v>965</v>
      </c>
      <c r="C262">
        <v>2024</v>
      </c>
      <c r="D262">
        <f>431</f>
        <v>431</v>
      </c>
      <c r="E262">
        <v>7</v>
      </c>
      <c r="F262" t="s">
        <v>961</v>
      </c>
      <c r="G262" t="s">
        <v>239</v>
      </c>
      <c r="H262" t="s">
        <v>100</v>
      </c>
      <c r="I262" t="s">
        <v>240</v>
      </c>
      <c r="J262" t="s">
        <v>50</v>
      </c>
      <c r="K262">
        <v>15</v>
      </c>
      <c r="L262">
        <v>57.7</v>
      </c>
      <c r="M262">
        <v>34.299999999999997</v>
      </c>
      <c r="N262">
        <v>2569</v>
      </c>
      <c r="O262">
        <v>44000</v>
      </c>
      <c r="P262">
        <v>34.299999999999997</v>
      </c>
      <c r="Q262">
        <v>178</v>
      </c>
      <c r="R262">
        <v>38.5</v>
      </c>
      <c r="S262">
        <v>3.46</v>
      </c>
      <c r="T262" t="s">
        <v>96</v>
      </c>
      <c r="U262">
        <v>9868</v>
      </c>
      <c r="V262">
        <v>10</v>
      </c>
      <c r="W262">
        <v>5</v>
      </c>
      <c r="X262">
        <v>714</v>
      </c>
      <c r="Y262">
        <v>15.6</v>
      </c>
      <c r="Z262" t="s">
        <v>350</v>
      </c>
      <c r="AA262">
        <v>29</v>
      </c>
      <c r="AB262">
        <v>71</v>
      </c>
      <c r="AC262" t="s">
        <v>53</v>
      </c>
      <c r="AD262">
        <v>6864</v>
      </c>
      <c r="AE262">
        <v>3744</v>
      </c>
      <c r="AF262">
        <v>1161.4000000000001</v>
      </c>
      <c r="AG262">
        <v>22</v>
      </c>
      <c r="AH262">
        <v>154</v>
      </c>
      <c r="AI262">
        <v>33.419431818181813</v>
      </c>
      <c r="AJ262">
        <v>25.98</v>
      </c>
      <c r="AK262">
        <v>28.31</v>
      </c>
      <c r="AL262">
        <v>8.91</v>
      </c>
      <c r="AM262">
        <v>431</v>
      </c>
      <c r="AN262">
        <v>69.34</v>
      </c>
      <c r="AO262">
        <v>35.979999999999997</v>
      </c>
      <c r="AP262">
        <v>15.6</v>
      </c>
      <c r="AQ262">
        <v>10</v>
      </c>
      <c r="AR262">
        <v>26.2</v>
      </c>
    </row>
    <row r="263" spans="1:44" x14ac:dyDescent="0.3">
      <c r="A263">
        <v>262</v>
      </c>
      <c r="B263" t="s">
        <v>966</v>
      </c>
      <c r="C263">
        <v>2024</v>
      </c>
      <c r="D263">
        <f>431</f>
        <v>431</v>
      </c>
      <c r="E263">
        <v>14</v>
      </c>
      <c r="F263" t="s">
        <v>961</v>
      </c>
      <c r="G263" t="s">
        <v>239</v>
      </c>
      <c r="H263" t="s">
        <v>100</v>
      </c>
      <c r="I263" t="s">
        <v>240</v>
      </c>
      <c r="J263" t="s">
        <v>50</v>
      </c>
      <c r="K263">
        <v>34.5</v>
      </c>
      <c r="L263">
        <v>20.8</v>
      </c>
      <c r="M263">
        <v>5.9</v>
      </c>
      <c r="N263">
        <v>1765</v>
      </c>
      <c r="O263">
        <v>673</v>
      </c>
      <c r="P263">
        <v>5.9</v>
      </c>
      <c r="Q263">
        <v>88</v>
      </c>
      <c r="R263">
        <v>848</v>
      </c>
      <c r="S263">
        <v>489.81077147016009</v>
      </c>
      <c r="T263" t="s">
        <v>77</v>
      </c>
      <c r="U263">
        <v>10878</v>
      </c>
      <c r="V263">
        <v>12</v>
      </c>
      <c r="W263">
        <v>17</v>
      </c>
      <c r="X263">
        <v>1.3740000000000001</v>
      </c>
      <c r="Y263">
        <v>12.3</v>
      </c>
      <c r="Z263" t="s">
        <v>133</v>
      </c>
      <c r="AA263">
        <v>49.56428038</v>
      </c>
      <c r="AB263">
        <v>50.43571962</v>
      </c>
      <c r="AC263" t="s">
        <v>53</v>
      </c>
      <c r="AD263">
        <v>6676</v>
      </c>
      <c r="AE263">
        <v>4391</v>
      </c>
      <c r="AF263">
        <v>1161.4000000000001</v>
      </c>
      <c r="AG263">
        <v>22</v>
      </c>
      <c r="AH263">
        <v>154</v>
      </c>
      <c r="AI263">
        <v>33.419431818181813</v>
      </c>
      <c r="AJ263">
        <v>25.98</v>
      </c>
      <c r="AK263">
        <v>28.31</v>
      </c>
      <c r="AL263">
        <v>8.91</v>
      </c>
      <c r="AM263">
        <v>431</v>
      </c>
      <c r="AN263">
        <v>69.34</v>
      </c>
      <c r="AO263">
        <v>342.74</v>
      </c>
      <c r="AP263">
        <v>12.3</v>
      </c>
      <c r="AQ263">
        <v>12</v>
      </c>
      <c r="AR263">
        <v>26.2</v>
      </c>
    </row>
    <row r="264" spans="1:44" x14ac:dyDescent="0.3">
      <c r="A264">
        <v>263</v>
      </c>
      <c r="B264" t="s">
        <v>967</v>
      </c>
      <c r="C264">
        <v>2024</v>
      </c>
      <c r="D264">
        <f>431</f>
        <v>431</v>
      </c>
      <c r="E264">
        <v>53</v>
      </c>
      <c r="F264" t="s">
        <v>961</v>
      </c>
      <c r="G264" t="s">
        <v>47</v>
      </c>
      <c r="H264" t="s">
        <v>48</v>
      </c>
      <c r="I264" t="s">
        <v>968</v>
      </c>
      <c r="J264" t="s">
        <v>50</v>
      </c>
      <c r="K264">
        <v>11.5</v>
      </c>
      <c r="L264">
        <v>10.199999999999999</v>
      </c>
      <c r="M264">
        <v>34.700000000000003</v>
      </c>
      <c r="N264">
        <v>2611</v>
      </c>
      <c r="O264">
        <v>460</v>
      </c>
      <c r="P264">
        <v>34.700000000000003</v>
      </c>
      <c r="Q264">
        <v>158</v>
      </c>
      <c r="R264">
        <v>969</v>
      </c>
      <c r="S264">
        <v>0.63186813186813184</v>
      </c>
      <c r="T264" t="s">
        <v>71</v>
      </c>
      <c r="U264">
        <v>10650</v>
      </c>
      <c r="V264">
        <v>28</v>
      </c>
      <c r="W264">
        <v>34</v>
      </c>
      <c r="X264">
        <v>728</v>
      </c>
      <c r="Y264">
        <v>18.7</v>
      </c>
      <c r="Z264" t="s">
        <v>620</v>
      </c>
      <c r="AA264">
        <v>59</v>
      </c>
      <c r="AB264">
        <v>41</v>
      </c>
      <c r="AC264" t="s">
        <v>53</v>
      </c>
      <c r="AD264">
        <v>8172</v>
      </c>
      <c r="AE264">
        <v>3553</v>
      </c>
      <c r="AF264">
        <v>614.48</v>
      </c>
      <c r="AG264">
        <v>69</v>
      </c>
      <c r="AH264">
        <v>1</v>
      </c>
      <c r="AI264">
        <v>50.817340579710141</v>
      </c>
      <c r="AJ264">
        <v>35.82</v>
      </c>
      <c r="AK264">
        <v>38.92</v>
      </c>
      <c r="AL264">
        <v>35.29</v>
      </c>
      <c r="AM264">
        <v>431</v>
      </c>
      <c r="AN264">
        <v>69.34</v>
      </c>
      <c r="AO264">
        <v>408.42</v>
      </c>
      <c r="AP264">
        <v>18.7</v>
      </c>
      <c r="AQ264">
        <v>28</v>
      </c>
      <c r="AR264">
        <v>26.2</v>
      </c>
    </row>
    <row r="265" spans="1:44" x14ac:dyDescent="0.3">
      <c r="A265">
        <v>264</v>
      </c>
      <c r="B265" t="s">
        <v>969</v>
      </c>
      <c r="C265">
        <v>2024</v>
      </c>
      <c r="D265">
        <f>436</f>
        <v>436</v>
      </c>
      <c r="E265">
        <v>5</v>
      </c>
      <c r="F265" t="s">
        <v>970</v>
      </c>
      <c r="G265" t="s">
        <v>484</v>
      </c>
      <c r="H265" t="s">
        <v>48</v>
      </c>
      <c r="I265" t="s">
        <v>485</v>
      </c>
      <c r="J265" t="s">
        <v>50</v>
      </c>
      <c r="K265">
        <v>19.7</v>
      </c>
      <c r="L265">
        <v>27</v>
      </c>
      <c r="M265">
        <v>12.4</v>
      </c>
      <c r="N265">
        <v>1380</v>
      </c>
      <c r="O265">
        <v>673</v>
      </c>
      <c r="P265">
        <v>12.4</v>
      </c>
      <c r="Q265">
        <v>142</v>
      </c>
      <c r="R265">
        <v>968</v>
      </c>
      <c r="S265">
        <v>535.40175019888625</v>
      </c>
      <c r="T265" t="s">
        <v>58</v>
      </c>
      <c r="U265">
        <v>14325</v>
      </c>
      <c r="V265">
        <v>12</v>
      </c>
      <c r="W265">
        <v>13</v>
      </c>
      <c r="X265">
        <v>1.2569999999999999</v>
      </c>
      <c r="Y265">
        <v>26.1</v>
      </c>
      <c r="Z265" t="s">
        <v>110</v>
      </c>
      <c r="AA265">
        <v>58</v>
      </c>
      <c r="AB265">
        <v>42</v>
      </c>
      <c r="AC265" t="s">
        <v>53</v>
      </c>
      <c r="AD265">
        <v>9898</v>
      </c>
      <c r="AE265">
        <v>4814</v>
      </c>
      <c r="AF265">
        <v>440</v>
      </c>
      <c r="AG265">
        <v>7</v>
      </c>
      <c r="AH265">
        <v>231</v>
      </c>
      <c r="AI265">
        <v>47.207928571428567</v>
      </c>
      <c r="AJ265">
        <v>44.34</v>
      </c>
      <c r="AK265">
        <v>40.61</v>
      </c>
      <c r="AL265">
        <v>28.35</v>
      </c>
      <c r="AM265">
        <v>436</v>
      </c>
      <c r="AN265">
        <v>68.98</v>
      </c>
      <c r="AO265">
        <v>394.64</v>
      </c>
      <c r="AP265">
        <v>26.1</v>
      </c>
      <c r="AQ265">
        <v>12</v>
      </c>
      <c r="AR265">
        <v>26</v>
      </c>
    </row>
    <row r="266" spans="1:44" x14ac:dyDescent="0.3">
      <c r="A266">
        <v>265</v>
      </c>
      <c r="B266" t="s">
        <v>971</v>
      </c>
      <c r="C266">
        <v>2024</v>
      </c>
      <c r="D266">
        <f>436</f>
        <v>436</v>
      </c>
      <c r="E266">
        <v>7</v>
      </c>
      <c r="F266" t="s">
        <v>970</v>
      </c>
      <c r="G266" t="s">
        <v>330</v>
      </c>
      <c r="H266" t="s">
        <v>48</v>
      </c>
      <c r="I266" t="s">
        <v>972</v>
      </c>
      <c r="J266" t="s">
        <v>50</v>
      </c>
      <c r="K266">
        <v>22.5</v>
      </c>
      <c r="L266">
        <v>19.5</v>
      </c>
      <c r="M266">
        <v>31.8</v>
      </c>
      <c r="N266">
        <v>4789</v>
      </c>
      <c r="O266">
        <v>41065</v>
      </c>
      <c r="P266">
        <v>31.8</v>
      </c>
      <c r="Q266">
        <v>209</v>
      </c>
      <c r="R266">
        <v>38.4</v>
      </c>
      <c r="S266">
        <v>3.97</v>
      </c>
      <c r="T266" t="s">
        <v>77</v>
      </c>
      <c r="U266">
        <v>16236</v>
      </c>
      <c r="V266">
        <v>7</v>
      </c>
      <c r="W266">
        <v>10</v>
      </c>
      <c r="X266">
        <v>1.31</v>
      </c>
      <c r="Y266">
        <v>20.7</v>
      </c>
      <c r="Z266" t="s">
        <v>146</v>
      </c>
      <c r="AA266">
        <v>53</v>
      </c>
      <c r="AB266">
        <v>47</v>
      </c>
      <c r="AC266" t="s">
        <v>53</v>
      </c>
      <c r="AD266">
        <v>10759</v>
      </c>
      <c r="AE266">
        <v>6525</v>
      </c>
      <c r="AF266">
        <v>384.82</v>
      </c>
      <c r="AG266">
        <v>8</v>
      </c>
      <c r="AH266">
        <v>121</v>
      </c>
      <c r="AI266">
        <v>53.541874999999997</v>
      </c>
      <c r="AJ266">
        <v>36.49</v>
      </c>
      <c r="AK266">
        <v>55.81</v>
      </c>
      <c r="AL266">
        <v>13.23</v>
      </c>
      <c r="AM266">
        <v>436</v>
      </c>
      <c r="AN266">
        <v>68.98</v>
      </c>
      <c r="AO266">
        <v>34.44</v>
      </c>
      <c r="AP266">
        <v>20.7</v>
      </c>
      <c r="AQ266">
        <v>7</v>
      </c>
      <c r="AR266">
        <v>26</v>
      </c>
    </row>
    <row r="267" spans="1:44" x14ac:dyDescent="0.3">
      <c r="A267">
        <v>266</v>
      </c>
      <c r="B267" t="s">
        <v>973</v>
      </c>
      <c r="C267">
        <v>2024</v>
      </c>
      <c r="D267">
        <f>441</f>
        <v>441</v>
      </c>
      <c r="E267">
        <v>19</v>
      </c>
      <c r="F267" t="s">
        <v>974</v>
      </c>
      <c r="G267" t="s">
        <v>114</v>
      </c>
      <c r="H267" t="s">
        <v>64</v>
      </c>
      <c r="I267" t="s">
        <v>975</v>
      </c>
      <c r="J267" t="s">
        <v>50</v>
      </c>
      <c r="K267">
        <v>19.899999999999999</v>
      </c>
      <c r="L267">
        <v>11</v>
      </c>
      <c r="M267">
        <v>25.1</v>
      </c>
      <c r="N267">
        <v>8639</v>
      </c>
      <c r="O267">
        <v>60739</v>
      </c>
      <c r="P267">
        <v>25.1</v>
      </c>
      <c r="Q267">
        <v>223</v>
      </c>
      <c r="R267">
        <v>49.1</v>
      </c>
      <c r="S267">
        <v>4.38</v>
      </c>
      <c r="T267" t="s">
        <v>51</v>
      </c>
      <c r="U267">
        <v>30362</v>
      </c>
      <c r="V267">
        <v>16</v>
      </c>
      <c r="W267">
        <v>18</v>
      </c>
      <c r="X267">
        <v>2.29</v>
      </c>
      <c r="Y267">
        <v>17.899999999999999</v>
      </c>
      <c r="Z267" t="s">
        <v>110</v>
      </c>
      <c r="AA267">
        <v>59</v>
      </c>
      <c r="AB267">
        <v>41</v>
      </c>
      <c r="AC267" t="s">
        <v>53</v>
      </c>
      <c r="AD267">
        <v>19125</v>
      </c>
      <c r="AE267">
        <v>11002</v>
      </c>
      <c r="AF267">
        <v>559.59</v>
      </c>
      <c r="AG267">
        <v>23</v>
      </c>
      <c r="AH267">
        <v>21</v>
      </c>
      <c r="AI267">
        <v>55.883456521739127</v>
      </c>
      <c r="AJ267">
        <v>36.42</v>
      </c>
      <c r="AK267">
        <v>48.16</v>
      </c>
      <c r="AL267">
        <v>22.85</v>
      </c>
      <c r="AM267">
        <v>441</v>
      </c>
      <c r="AN267">
        <v>68.62</v>
      </c>
      <c r="AO267">
        <v>34.700000000000003</v>
      </c>
      <c r="AP267">
        <v>17.899999999999999</v>
      </c>
      <c r="AQ267">
        <v>16</v>
      </c>
      <c r="AR267">
        <v>25.9</v>
      </c>
    </row>
    <row r="268" spans="1:44" x14ac:dyDescent="0.3">
      <c r="A268">
        <v>267</v>
      </c>
      <c r="B268" t="s">
        <v>976</v>
      </c>
      <c r="C268">
        <v>2024</v>
      </c>
      <c r="D268">
        <f>441</f>
        <v>441</v>
      </c>
      <c r="E268">
        <v>48</v>
      </c>
      <c r="F268" t="s">
        <v>974</v>
      </c>
      <c r="G268" t="s">
        <v>63</v>
      </c>
      <c r="H268" t="s">
        <v>64</v>
      </c>
      <c r="I268" t="s">
        <v>977</v>
      </c>
      <c r="J268" t="s">
        <v>50</v>
      </c>
      <c r="K268">
        <v>15.9</v>
      </c>
      <c r="L268">
        <v>6</v>
      </c>
      <c r="M268">
        <v>36.5</v>
      </c>
      <c r="N268">
        <v>3815</v>
      </c>
      <c r="O268">
        <v>93</v>
      </c>
      <c r="P268">
        <v>36.5</v>
      </c>
      <c r="Q268">
        <v>154</v>
      </c>
      <c r="R268">
        <v>125</v>
      </c>
      <c r="S268">
        <v>27.802690582959642</v>
      </c>
      <c r="T268" t="s">
        <v>58</v>
      </c>
      <c r="U268">
        <v>31502</v>
      </c>
      <c r="V268">
        <v>8</v>
      </c>
      <c r="W268">
        <v>9</v>
      </c>
      <c r="X268">
        <v>3.3450000000000002</v>
      </c>
      <c r="Y268">
        <v>13.3</v>
      </c>
      <c r="Z268" t="s">
        <v>133</v>
      </c>
      <c r="AA268">
        <v>50</v>
      </c>
      <c r="AB268">
        <v>50</v>
      </c>
      <c r="AC268" t="s">
        <v>53</v>
      </c>
      <c r="AD268">
        <v>22894</v>
      </c>
      <c r="AE268">
        <v>10212</v>
      </c>
      <c r="AF268">
        <v>647.61</v>
      </c>
      <c r="AG268">
        <v>98</v>
      </c>
      <c r="AH268">
        <v>2</v>
      </c>
      <c r="AI268">
        <v>56.843244897959181</v>
      </c>
      <c r="AJ268">
        <v>29.74</v>
      </c>
      <c r="AK268">
        <v>38.11</v>
      </c>
      <c r="AL268">
        <v>19.260000000000002</v>
      </c>
      <c r="AM268">
        <v>441</v>
      </c>
      <c r="AN268">
        <v>68.62</v>
      </c>
      <c r="AO268">
        <v>71.900000000000006</v>
      </c>
      <c r="AP268">
        <v>13.3</v>
      </c>
      <c r="AQ268">
        <v>8</v>
      </c>
      <c r="AR268">
        <v>25.9</v>
      </c>
    </row>
    <row r="269" spans="1:44" x14ac:dyDescent="0.3">
      <c r="A269">
        <v>268</v>
      </c>
      <c r="B269" t="s">
        <v>978</v>
      </c>
      <c r="C269">
        <v>2024</v>
      </c>
      <c r="D269">
        <f>444</f>
        <v>444</v>
      </c>
      <c r="E269">
        <v>1</v>
      </c>
      <c r="F269" t="s">
        <v>979</v>
      </c>
      <c r="G269" t="s">
        <v>834</v>
      </c>
      <c r="H269" t="s">
        <v>48</v>
      </c>
      <c r="I269" t="s">
        <v>835</v>
      </c>
      <c r="J269" t="s">
        <v>50</v>
      </c>
      <c r="K269">
        <v>26.3</v>
      </c>
      <c r="L269">
        <v>31.6</v>
      </c>
      <c r="M269">
        <v>29.1</v>
      </c>
      <c r="N269">
        <v>14705</v>
      </c>
      <c r="O269">
        <v>275</v>
      </c>
      <c r="P269">
        <v>29.1</v>
      </c>
      <c r="Q269">
        <v>512</v>
      </c>
      <c r="R269">
        <v>201</v>
      </c>
      <c r="S269">
        <v>127.079482439926</v>
      </c>
      <c r="T269" t="s">
        <v>58</v>
      </c>
      <c r="U269">
        <v>67934</v>
      </c>
      <c r="V269">
        <v>11</v>
      </c>
      <c r="W269">
        <v>12</v>
      </c>
      <c r="X269">
        <v>2.1640000000000001</v>
      </c>
      <c r="Y269">
        <v>34</v>
      </c>
      <c r="Z269" t="s">
        <v>82</v>
      </c>
      <c r="AA269">
        <v>60</v>
      </c>
      <c r="AB269">
        <v>40</v>
      </c>
      <c r="AC269" t="s">
        <v>53</v>
      </c>
      <c r="AD269">
        <v>44526</v>
      </c>
      <c r="AE269">
        <v>22210</v>
      </c>
      <c r="AF269">
        <v>1152.18</v>
      </c>
      <c r="AG269">
        <v>8</v>
      </c>
      <c r="AH269">
        <v>521</v>
      </c>
      <c r="AI269">
        <v>35.509249999999987</v>
      </c>
      <c r="AJ269">
        <v>26.59</v>
      </c>
      <c r="AK269">
        <v>34.58</v>
      </c>
      <c r="AL269">
        <v>5.27</v>
      </c>
      <c r="AM269">
        <v>444</v>
      </c>
      <c r="AN269">
        <v>68.41</v>
      </c>
      <c r="AO269">
        <v>97.86</v>
      </c>
      <c r="AP269">
        <v>34</v>
      </c>
      <c r="AQ269">
        <v>11</v>
      </c>
      <c r="AR269">
        <v>25.8</v>
      </c>
    </row>
    <row r="270" spans="1:44" x14ac:dyDescent="0.3">
      <c r="A270">
        <v>269</v>
      </c>
      <c r="B270" t="s">
        <v>980</v>
      </c>
      <c r="C270">
        <v>2024</v>
      </c>
      <c r="D270">
        <f>444</f>
        <v>444</v>
      </c>
      <c r="E270">
        <v>75</v>
      </c>
      <c r="F270" t="s">
        <v>979</v>
      </c>
      <c r="G270" t="s">
        <v>63</v>
      </c>
      <c r="H270" t="s">
        <v>64</v>
      </c>
      <c r="I270" t="s">
        <v>981</v>
      </c>
      <c r="J270" t="s">
        <v>50</v>
      </c>
      <c r="K270">
        <v>15.1</v>
      </c>
      <c r="L270">
        <v>6.9</v>
      </c>
      <c r="M270">
        <v>41.6</v>
      </c>
      <c r="N270">
        <v>4796</v>
      </c>
      <c r="O270">
        <v>254</v>
      </c>
      <c r="P270">
        <v>41.6</v>
      </c>
      <c r="Q270">
        <v>272</v>
      </c>
      <c r="R270">
        <v>210</v>
      </c>
      <c r="S270">
        <v>191.26506024096381</v>
      </c>
      <c r="T270" t="s">
        <v>96</v>
      </c>
      <c r="U270">
        <v>28128</v>
      </c>
      <c r="V270">
        <v>11</v>
      </c>
      <c r="W270">
        <v>14</v>
      </c>
      <c r="X270">
        <v>1.3280000000000001</v>
      </c>
      <c r="Y270">
        <v>13.1</v>
      </c>
      <c r="Z270" t="s">
        <v>337</v>
      </c>
      <c r="AA270">
        <v>53</v>
      </c>
      <c r="AB270">
        <v>47</v>
      </c>
      <c r="AC270" t="s">
        <v>53</v>
      </c>
      <c r="AD270">
        <v>17630</v>
      </c>
      <c r="AE270">
        <v>12220</v>
      </c>
      <c r="AF270">
        <v>647.61</v>
      </c>
      <c r="AG270">
        <v>98</v>
      </c>
      <c r="AH270">
        <v>2</v>
      </c>
      <c r="AI270">
        <v>56.843244897959181</v>
      </c>
      <c r="AJ270">
        <v>29.74</v>
      </c>
      <c r="AK270">
        <v>38.11</v>
      </c>
      <c r="AL270">
        <v>19.260000000000002</v>
      </c>
      <c r="AM270">
        <v>444</v>
      </c>
      <c r="AN270">
        <v>68.41</v>
      </c>
      <c r="AO270">
        <v>108.96</v>
      </c>
      <c r="AP270">
        <v>13.1</v>
      </c>
      <c r="AQ270">
        <v>11</v>
      </c>
      <c r="AR270">
        <v>25.8</v>
      </c>
    </row>
    <row r="271" spans="1:44" x14ac:dyDescent="0.3">
      <c r="A271">
        <v>270</v>
      </c>
      <c r="B271" t="s">
        <v>982</v>
      </c>
      <c r="C271">
        <v>2024</v>
      </c>
      <c r="D271">
        <f>446</f>
        <v>446</v>
      </c>
      <c r="E271">
        <v>50</v>
      </c>
      <c r="F271" t="s">
        <v>983</v>
      </c>
      <c r="G271" t="s">
        <v>47</v>
      </c>
      <c r="H271" t="s">
        <v>48</v>
      </c>
      <c r="I271" t="s">
        <v>279</v>
      </c>
      <c r="J271" t="s">
        <v>50</v>
      </c>
      <c r="K271">
        <v>12.9</v>
      </c>
      <c r="L271">
        <v>22.8</v>
      </c>
      <c r="M271">
        <v>34.1</v>
      </c>
      <c r="N271">
        <v>5198</v>
      </c>
      <c r="O271">
        <v>13195</v>
      </c>
      <c r="P271">
        <v>34.1</v>
      </c>
      <c r="Q271">
        <v>135</v>
      </c>
      <c r="R271">
        <v>37.4</v>
      </c>
      <c r="S271">
        <v>4.7300000000000004</v>
      </c>
      <c r="T271" t="s">
        <v>71</v>
      </c>
      <c r="U271">
        <v>12950</v>
      </c>
      <c r="V271">
        <v>25</v>
      </c>
      <c r="W271">
        <v>35</v>
      </c>
      <c r="X271">
        <v>730</v>
      </c>
      <c r="Y271">
        <v>19</v>
      </c>
      <c r="Z271" t="s">
        <v>52</v>
      </c>
      <c r="AA271">
        <v>47</v>
      </c>
      <c r="AB271">
        <v>53</v>
      </c>
      <c r="AC271" t="s">
        <v>53</v>
      </c>
      <c r="AD271">
        <v>11563</v>
      </c>
      <c r="AE271">
        <v>4147</v>
      </c>
      <c r="AF271">
        <v>614.48</v>
      </c>
      <c r="AG271">
        <v>69</v>
      </c>
      <c r="AH271">
        <v>1</v>
      </c>
      <c r="AI271">
        <v>50.817340579710141</v>
      </c>
      <c r="AJ271">
        <v>35.82</v>
      </c>
      <c r="AK271">
        <v>38.92</v>
      </c>
      <c r="AL271">
        <v>35.29</v>
      </c>
      <c r="AM271">
        <v>446</v>
      </c>
      <c r="AN271">
        <v>68.260000000000005</v>
      </c>
      <c r="AO271">
        <v>35.42</v>
      </c>
      <c r="AP271">
        <v>19</v>
      </c>
      <c r="AQ271">
        <v>25</v>
      </c>
      <c r="AR271">
        <v>25.7</v>
      </c>
    </row>
    <row r="272" spans="1:44" x14ac:dyDescent="0.3">
      <c r="A272">
        <v>271</v>
      </c>
      <c r="B272" t="s">
        <v>984</v>
      </c>
      <c r="C272">
        <v>2024</v>
      </c>
      <c r="D272">
        <f>446</f>
        <v>446</v>
      </c>
      <c r="E272">
        <v>7</v>
      </c>
      <c r="F272" t="s">
        <v>983</v>
      </c>
      <c r="G272" t="s">
        <v>330</v>
      </c>
      <c r="H272" t="s">
        <v>48</v>
      </c>
      <c r="I272" t="s">
        <v>985</v>
      </c>
      <c r="J272" t="s">
        <v>50</v>
      </c>
      <c r="K272">
        <v>17.2</v>
      </c>
      <c r="L272">
        <v>12.5</v>
      </c>
      <c r="M272">
        <v>15.3</v>
      </c>
      <c r="N272">
        <v>2331</v>
      </c>
      <c r="O272">
        <v>898</v>
      </c>
      <c r="P272">
        <v>15.3</v>
      </c>
      <c r="Q272">
        <v>117</v>
      </c>
      <c r="R272">
        <v>593</v>
      </c>
      <c r="S272">
        <v>570.88366179275272</v>
      </c>
      <c r="T272" t="s">
        <v>51</v>
      </c>
      <c r="U272">
        <v>10702</v>
      </c>
      <c r="V272">
        <v>3</v>
      </c>
      <c r="W272">
        <v>4</v>
      </c>
      <c r="X272">
        <v>1.573</v>
      </c>
      <c r="Y272">
        <v>13.8</v>
      </c>
      <c r="Z272" t="s">
        <v>326</v>
      </c>
      <c r="AA272">
        <v>64</v>
      </c>
      <c r="AB272">
        <v>36</v>
      </c>
      <c r="AC272" t="s">
        <v>53</v>
      </c>
      <c r="AD272">
        <v>7396</v>
      </c>
      <c r="AE272">
        <v>3754</v>
      </c>
      <c r="AF272">
        <v>384.82</v>
      </c>
      <c r="AG272">
        <v>8</v>
      </c>
      <c r="AH272">
        <v>121</v>
      </c>
      <c r="AI272">
        <v>53.541874999999997</v>
      </c>
      <c r="AJ272">
        <v>36.49</v>
      </c>
      <c r="AK272">
        <v>55.81</v>
      </c>
      <c r="AL272">
        <v>13.23</v>
      </c>
      <c r="AM272">
        <v>446</v>
      </c>
      <c r="AN272">
        <v>68.260000000000005</v>
      </c>
      <c r="AO272">
        <v>246.38</v>
      </c>
      <c r="AP272">
        <v>13.8</v>
      </c>
      <c r="AQ272">
        <v>3</v>
      </c>
      <c r="AR272">
        <v>25.7</v>
      </c>
    </row>
    <row r="273" spans="1:44" x14ac:dyDescent="0.3">
      <c r="A273">
        <v>272</v>
      </c>
      <c r="B273" t="s">
        <v>986</v>
      </c>
      <c r="C273">
        <v>2024</v>
      </c>
      <c r="D273" t="s">
        <v>987</v>
      </c>
      <c r="E273">
        <v>8</v>
      </c>
      <c r="F273" t="s">
        <v>988</v>
      </c>
      <c r="G273" t="s">
        <v>805</v>
      </c>
      <c r="H273" t="s">
        <v>100</v>
      </c>
      <c r="I273" t="s">
        <v>806</v>
      </c>
      <c r="J273" t="s">
        <v>50</v>
      </c>
      <c r="K273">
        <v>6.6</v>
      </c>
      <c r="L273">
        <v>23.2</v>
      </c>
      <c r="M273">
        <v>94.8</v>
      </c>
      <c r="N273">
        <v>3547</v>
      </c>
      <c r="O273">
        <v>673</v>
      </c>
      <c r="P273">
        <v>94.8</v>
      </c>
      <c r="Q273">
        <v>286</v>
      </c>
      <c r="R273">
        <v>546</v>
      </c>
      <c r="S273">
        <v>1.2650375939849621</v>
      </c>
      <c r="T273" t="s">
        <v>77</v>
      </c>
      <c r="U273">
        <v>14679</v>
      </c>
      <c r="V273">
        <v>1</v>
      </c>
      <c r="W273">
        <v>7</v>
      </c>
      <c r="X273">
        <v>532</v>
      </c>
      <c r="Y273">
        <v>32.700000000000003</v>
      </c>
      <c r="Z273" t="s">
        <v>386</v>
      </c>
      <c r="AA273">
        <v>36</v>
      </c>
      <c r="AB273">
        <v>64</v>
      </c>
      <c r="AC273" t="s">
        <v>53</v>
      </c>
      <c r="AD273">
        <v>7191</v>
      </c>
      <c r="AE273">
        <v>5365</v>
      </c>
      <c r="AF273">
        <v>693.23</v>
      </c>
      <c r="AG273">
        <v>6</v>
      </c>
      <c r="AH273">
        <v>325</v>
      </c>
      <c r="AI273">
        <v>44.607750000000003</v>
      </c>
      <c r="AJ273">
        <v>12.14</v>
      </c>
      <c r="AK273">
        <v>70.150000000000006</v>
      </c>
      <c r="AL273">
        <v>7</v>
      </c>
      <c r="AM273">
        <v>451</v>
      </c>
      <c r="AN273">
        <v>67.91</v>
      </c>
      <c r="AO273">
        <v>275.27999999999997</v>
      </c>
      <c r="AP273">
        <v>32.700000000000003</v>
      </c>
      <c r="AQ273">
        <v>1</v>
      </c>
      <c r="AR273">
        <v>25.6</v>
      </c>
    </row>
    <row r="274" spans="1:44" x14ac:dyDescent="0.3">
      <c r="A274">
        <v>273</v>
      </c>
      <c r="B274" t="s">
        <v>989</v>
      </c>
      <c r="C274">
        <v>2024</v>
      </c>
      <c r="D274">
        <f>454</f>
        <v>454</v>
      </c>
      <c r="E274">
        <v>4</v>
      </c>
      <c r="F274" t="s">
        <v>990</v>
      </c>
      <c r="G274" t="s">
        <v>642</v>
      </c>
      <c r="H274" t="s">
        <v>48</v>
      </c>
      <c r="I274" t="s">
        <v>643</v>
      </c>
      <c r="J274" t="s">
        <v>50</v>
      </c>
      <c r="K274">
        <v>21.5</v>
      </c>
      <c r="L274">
        <v>37.6</v>
      </c>
      <c r="M274">
        <v>4.0999999999999996</v>
      </c>
      <c r="N274">
        <v>1708</v>
      </c>
      <c r="O274">
        <v>460</v>
      </c>
      <c r="P274">
        <v>4.0999999999999996</v>
      </c>
      <c r="Q274">
        <v>133</v>
      </c>
      <c r="R274">
        <v>673</v>
      </c>
      <c r="S274">
        <v>175.0380517503805</v>
      </c>
      <c r="T274" t="s">
        <v>71</v>
      </c>
      <c r="U274">
        <v>15663</v>
      </c>
      <c r="V274">
        <v>21</v>
      </c>
      <c r="W274">
        <v>21</v>
      </c>
      <c r="X274">
        <v>2.6280000000000001</v>
      </c>
      <c r="Y274">
        <v>8.6999999999999993</v>
      </c>
      <c r="Z274" t="s">
        <v>390</v>
      </c>
      <c r="AA274">
        <v>31</v>
      </c>
      <c r="AB274">
        <v>69</v>
      </c>
      <c r="AC274" t="s">
        <v>53</v>
      </c>
      <c r="AD274">
        <v>7859</v>
      </c>
      <c r="AE274">
        <v>7617</v>
      </c>
      <c r="AF274">
        <v>1055.02</v>
      </c>
      <c r="AG274">
        <v>11</v>
      </c>
      <c r="AH274">
        <v>459</v>
      </c>
      <c r="AI274">
        <v>29.911909090909091</v>
      </c>
      <c r="AJ274">
        <v>21.19</v>
      </c>
      <c r="AK274">
        <v>18.600000000000001</v>
      </c>
      <c r="AL274">
        <v>18.350000000000001</v>
      </c>
      <c r="AM274">
        <v>454</v>
      </c>
      <c r="AN274">
        <v>67.69</v>
      </c>
      <c r="AO274">
        <v>271.66000000000003</v>
      </c>
      <c r="AP274">
        <v>8.6999999999999993</v>
      </c>
      <c r="AQ274">
        <v>21</v>
      </c>
      <c r="AR274">
        <v>25.2</v>
      </c>
    </row>
    <row r="275" spans="1:44" x14ac:dyDescent="0.3">
      <c r="A275">
        <v>274</v>
      </c>
      <c r="B275" t="s">
        <v>991</v>
      </c>
      <c r="C275">
        <v>2024</v>
      </c>
      <c r="D275">
        <f>454</f>
        <v>454</v>
      </c>
      <c r="E275">
        <v>25</v>
      </c>
      <c r="F275" t="s">
        <v>990</v>
      </c>
      <c r="G275" t="s">
        <v>99</v>
      </c>
      <c r="H275" t="s">
        <v>100</v>
      </c>
      <c r="I275" t="s">
        <v>436</v>
      </c>
      <c r="J275" t="s">
        <v>50</v>
      </c>
      <c r="K275">
        <v>12.8</v>
      </c>
      <c r="L275">
        <v>7.4</v>
      </c>
      <c r="M275">
        <v>73.099999999999994</v>
      </c>
      <c r="N275">
        <v>4061</v>
      </c>
      <c r="O275">
        <v>541</v>
      </c>
      <c r="P275">
        <v>73.099999999999994</v>
      </c>
      <c r="Q275">
        <v>278</v>
      </c>
      <c r="R275">
        <v>175</v>
      </c>
      <c r="S275">
        <v>158.69756526840709</v>
      </c>
      <c r="T275" t="s">
        <v>71</v>
      </c>
      <c r="U275">
        <v>39637</v>
      </c>
      <c r="V275">
        <v>4</v>
      </c>
      <c r="W275">
        <v>4</v>
      </c>
      <c r="X275">
        <v>3.4089999999999998</v>
      </c>
      <c r="Y275">
        <v>12.4</v>
      </c>
      <c r="Z275" t="s">
        <v>564</v>
      </c>
      <c r="AA275">
        <v>35</v>
      </c>
      <c r="AB275">
        <v>65</v>
      </c>
      <c r="AC275" t="s">
        <v>53</v>
      </c>
      <c r="AD275">
        <v>28122</v>
      </c>
      <c r="AE275">
        <v>15820</v>
      </c>
      <c r="AF275">
        <v>1019.68</v>
      </c>
      <c r="AG275">
        <v>35</v>
      </c>
      <c r="AH275">
        <v>12</v>
      </c>
      <c r="AI275">
        <v>56.538228571428569</v>
      </c>
      <c r="AJ275">
        <v>36.869999999999997</v>
      </c>
      <c r="AK275">
        <v>34.94</v>
      </c>
      <c r="AL275">
        <v>3.11</v>
      </c>
      <c r="AM275">
        <v>454</v>
      </c>
      <c r="AN275">
        <v>67.69</v>
      </c>
      <c r="AO275">
        <v>113.86</v>
      </c>
      <c r="AP275">
        <v>12.4</v>
      </c>
      <c r="AQ275">
        <v>4</v>
      </c>
      <c r="AR275">
        <v>25.2</v>
      </c>
    </row>
    <row r="276" spans="1:44" x14ac:dyDescent="0.3">
      <c r="A276">
        <v>275</v>
      </c>
      <c r="B276" t="s">
        <v>992</v>
      </c>
      <c r="C276">
        <v>2024</v>
      </c>
      <c r="D276">
        <f>454</f>
        <v>454</v>
      </c>
      <c r="E276">
        <v>1</v>
      </c>
      <c r="F276" t="s">
        <v>990</v>
      </c>
      <c r="G276" t="s">
        <v>993</v>
      </c>
      <c r="H276" t="s">
        <v>100</v>
      </c>
      <c r="I276" t="s">
        <v>994</v>
      </c>
      <c r="J276" t="s">
        <v>50</v>
      </c>
      <c r="K276">
        <v>16.7</v>
      </c>
      <c r="L276">
        <v>13.7</v>
      </c>
      <c r="M276">
        <v>18.399999999999999</v>
      </c>
      <c r="N276">
        <v>2878</v>
      </c>
      <c r="O276">
        <v>6761</v>
      </c>
      <c r="P276">
        <v>18.399999999999999</v>
      </c>
      <c r="Q276">
        <v>94</v>
      </c>
      <c r="R276">
        <v>34.200000000000003</v>
      </c>
      <c r="S276">
        <v>7.59</v>
      </c>
      <c r="T276" t="s">
        <v>96</v>
      </c>
      <c r="U276">
        <v>7512</v>
      </c>
      <c r="V276">
        <v>4</v>
      </c>
      <c r="W276">
        <v>4</v>
      </c>
      <c r="X276">
        <v>916</v>
      </c>
      <c r="Y276">
        <v>9.1999999999999993</v>
      </c>
      <c r="Z276" t="s">
        <v>133</v>
      </c>
      <c r="AA276">
        <v>50</v>
      </c>
      <c r="AB276">
        <v>50</v>
      </c>
      <c r="AC276" t="s">
        <v>53</v>
      </c>
      <c r="AD276">
        <v>4783</v>
      </c>
      <c r="AE276">
        <v>2592</v>
      </c>
      <c r="AF276">
        <v>810.2</v>
      </c>
      <c r="AG276">
        <v>1</v>
      </c>
      <c r="AH276">
        <v>653</v>
      </c>
      <c r="AI276">
        <v>40.395499999999991</v>
      </c>
      <c r="AJ276">
        <v>13.42</v>
      </c>
      <c r="AK276">
        <v>20.100000000000001</v>
      </c>
      <c r="AL276">
        <v>15.15</v>
      </c>
      <c r="AM276">
        <v>454</v>
      </c>
      <c r="AN276">
        <v>67.69</v>
      </c>
      <c r="AO276">
        <v>24.72</v>
      </c>
      <c r="AP276">
        <v>9.1999999999999993</v>
      </c>
      <c r="AQ276">
        <v>4</v>
      </c>
      <c r="AR276">
        <v>25.2</v>
      </c>
    </row>
    <row r="277" spans="1:44" x14ac:dyDescent="0.3">
      <c r="A277">
        <v>276</v>
      </c>
      <c r="B277" t="s">
        <v>995</v>
      </c>
      <c r="C277">
        <v>2024</v>
      </c>
      <c r="D277">
        <f>461</f>
        <v>461</v>
      </c>
      <c r="E277">
        <v>89</v>
      </c>
      <c r="F277" t="s">
        <v>996</v>
      </c>
      <c r="G277" t="s">
        <v>63</v>
      </c>
      <c r="H277" t="s">
        <v>64</v>
      </c>
      <c r="I277" t="s">
        <v>997</v>
      </c>
      <c r="J277" t="s">
        <v>50</v>
      </c>
      <c r="K277">
        <v>25.1</v>
      </c>
      <c r="L277">
        <v>25.7</v>
      </c>
      <c r="M277">
        <v>30.7</v>
      </c>
      <c r="N277">
        <v>6710</v>
      </c>
      <c r="O277">
        <v>139</v>
      </c>
      <c r="P277">
        <v>30.7</v>
      </c>
      <c r="Q277">
        <v>202</v>
      </c>
      <c r="R277">
        <v>275</v>
      </c>
      <c r="S277">
        <v>62.164579606440057</v>
      </c>
      <c r="T277" t="s">
        <v>96</v>
      </c>
      <c r="U277">
        <v>39831</v>
      </c>
      <c r="V277">
        <v>6</v>
      </c>
      <c r="W277">
        <v>7</v>
      </c>
      <c r="X277">
        <v>2.2360000000000002</v>
      </c>
      <c r="Y277">
        <v>24.6</v>
      </c>
      <c r="Z277" t="s">
        <v>110</v>
      </c>
      <c r="AA277">
        <v>58</v>
      </c>
      <c r="AB277">
        <v>42</v>
      </c>
      <c r="AC277" t="s">
        <v>53</v>
      </c>
      <c r="AD277">
        <v>17492</v>
      </c>
      <c r="AE277">
        <v>23168</v>
      </c>
      <c r="AF277">
        <v>647.61</v>
      </c>
      <c r="AG277">
        <v>98</v>
      </c>
      <c r="AH277">
        <v>2</v>
      </c>
      <c r="AI277">
        <v>56.843244897959181</v>
      </c>
      <c r="AJ277">
        <v>29.74</v>
      </c>
      <c r="AK277">
        <v>38.11</v>
      </c>
      <c r="AL277">
        <v>19.260000000000002</v>
      </c>
      <c r="AM277">
        <v>461</v>
      </c>
      <c r="AN277">
        <v>67.19</v>
      </c>
      <c r="AO277">
        <v>128.41999999999999</v>
      </c>
      <c r="AP277">
        <v>24.6</v>
      </c>
      <c r="AQ277">
        <v>6</v>
      </c>
      <c r="AR277">
        <v>24.9</v>
      </c>
    </row>
    <row r="278" spans="1:44" x14ac:dyDescent="0.3">
      <c r="A278">
        <v>277</v>
      </c>
      <c r="B278" t="s">
        <v>998</v>
      </c>
      <c r="C278">
        <v>2024</v>
      </c>
      <c r="D278">
        <f>465</f>
        <v>465</v>
      </c>
      <c r="E278">
        <v>22</v>
      </c>
      <c r="F278" t="s">
        <v>999</v>
      </c>
      <c r="G278" t="s">
        <v>155</v>
      </c>
      <c r="H278" t="s">
        <v>48</v>
      </c>
      <c r="I278" t="s">
        <v>1000</v>
      </c>
      <c r="J278" t="s">
        <v>50</v>
      </c>
      <c r="K278">
        <v>30.2</v>
      </c>
      <c r="L278">
        <v>5.3</v>
      </c>
      <c r="M278">
        <v>21.4</v>
      </c>
      <c r="N278">
        <v>14296</v>
      </c>
      <c r="O278">
        <v>460</v>
      </c>
      <c r="P278">
        <v>21.4</v>
      </c>
      <c r="Q278">
        <v>304</v>
      </c>
      <c r="R278">
        <v>519</v>
      </c>
      <c r="S278">
        <v>143.97496087636929</v>
      </c>
      <c r="T278" t="s">
        <v>77</v>
      </c>
      <c r="U278">
        <v>52643</v>
      </c>
      <c r="V278">
        <v>14</v>
      </c>
      <c r="W278">
        <v>15</v>
      </c>
      <c r="X278">
        <v>3.1949999999999998</v>
      </c>
      <c r="Y278">
        <v>21.7</v>
      </c>
      <c r="Z278" t="s">
        <v>202</v>
      </c>
      <c r="AA278">
        <v>60</v>
      </c>
      <c r="AB278">
        <v>40</v>
      </c>
      <c r="AC278" t="s">
        <v>53</v>
      </c>
      <c r="AD278">
        <v>39329</v>
      </c>
      <c r="AE278">
        <v>12206</v>
      </c>
      <c r="AF278">
        <v>858.67</v>
      </c>
      <c r="AG278">
        <v>9</v>
      </c>
      <c r="AH278">
        <v>58</v>
      </c>
      <c r="AI278">
        <v>54.703833333333343</v>
      </c>
      <c r="AJ278">
        <v>33.89</v>
      </c>
      <c r="AK278">
        <v>35.92</v>
      </c>
      <c r="AL278">
        <v>20.8</v>
      </c>
      <c r="AM278">
        <v>465</v>
      </c>
      <c r="AN278">
        <v>66.900000000000006</v>
      </c>
      <c r="AO278">
        <v>220.44</v>
      </c>
      <c r="AP278">
        <v>21.7</v>
      </c>
      <c r="AQ278">
        <v>14</v>
      </c>
      <c r="AR278">
        <v>24.7</v>
      </c>
    </row>
    <row r="279" spans="1:44" x14ac:dyDescent="0.3">
      <c r="A279">
        <v>278</v>
      </c>
      <c r="B279" t="s">
        <v>1001</v>
      </c>
      <c r="C279">
        <v>2024</v>
      </c>
      <c r="D279">
        <f>465</f>
        <v>465</v>
      </c>
      <c r="E279">
        <v>5</v>
      </c>
      <c r="F279" t="s">
        <v>999</v>
      </c>
      <c r="G279" t="s">
        <v>725</v>
      </c>
      <c r="H279" t="s">
        <v>100</v>
      </c>
      <c r="I279" t="s">
        <v>865</v>
      </c>
      <c r="J279" t="s">
        <v>65</v>
      </c>
      <c r="K279">
        <v>16.7</v>
      </c>
      <c r="L279">
        <v>18.8</v>
      </c>
      <c r="M279">
        <v>13.5</v>
      </c>
      <c r="N279">
        <v>1831</v>
      </c>
      <c r="O279">
        <v>35673</v>
      </c>
      <c r="P279">
        <v>13.5</v>
      </c>
      <c r="Q279">
        <v>202</v>
      </c>
      <c r="R279">
        <v>40.4</v>
      </c>
      <c r="S279">
        <v>2.63</v>
      </c>
      <c r="T279" t="s">
        <v>77</v>
      </c>
      <c r="U279">
        <v>12848</v>
      </c>
      <c r="V279">
        <v>51</v>
      </c>
      <c r="W279">
        <v>51</v>
      </c>
      <c r="X279">
        <v>678</v>
      </c>
      <c r="Y279">
        <v>18.899999999999999</v>
      </c>
      <c r="Z279" t="s">
        <v>358</v>
      </c>
      <c r="AA279">
        <v>67</v>
      </c>
      <c r="AB279">
        <v>33</v>
      </c>
      <c r="AC279" t="s">
        <v>53</v>
      </c>
      <c r="AD279">
        <v>7487</v>
      </c>
      <c r="AE279">
        <v>4840</v>
      </c>
      <c r="AF279">
        <v>460.42</v>
      </c>
      <c r="AG279">
        <v>5</v>
      </c>
      <c r="AH279">
        <v>229</v>
      </c>
      <c r="AI279">
        <v>49.677900000000001</v>
      </c>
      <c r="AJ279">
        <v>26.87</v>
      </c>
      <c r="AK279">
        <v>33.99</v>
      </c>
      <c r="AL279">
        <v>36.58</v>
      </c>
      <c r="AM279">
        <v>465</v>
      </c>
      <c r="AN279">
        <v>66.900000000000006</v>
      </c>
      <c r="AO279">
        <v>24.26</v>
      </c>
      <c r="AP279">
        <v>18.899999999999999</v>
      </c>
      <c r="AQ279">
        <v>51</v>
      </c>
      <c r="AR279">
        <v>24.7</v>
      </c>
    </row>
    <row r="280" spans="1:44" x14ac:dyDescent="0.3">
      <c r="A280">
        <v>279</v>
      </c>
      <c r="B280" t="s">
        <v>1002</v>
      </c>
      <c r="C280">
        <v>2024</v>
      </c>
      <c r="D280">
        <f>469</f>
        <v>469</v>
      </c>
      <c r="E280">
        <v>179</v>
      </c>
      <c r="F280" t="s">
        <v>1003</v>
      </c>
      <c r="G280" t="s">
        <v>63</v>
      </c>
      <c r="H280" t="s">
        <v>64</v>
      </c>
      <c r="I280" t="s">
        <v>1004</v>
      </c>
      <c r="J280" t="s">
        <v>65</v>
      </c>
      <c r="K280">
        <v>14.2</v>
      </c>
      <c r="L280">
        <v>15.6</v>
      </c>
      <c r="M280">
        <v>48.5</v>
      </c>
      <c r="N280">
        <v>1526</v>
      </c>
      <c r="O280">
        <v>541</v>
      </c>
      <c r="P280">
        <v>48.5</v>
      </c>
      <c r="Q280">
        <v>95</v>
      </c>
      <c r="R280">
        <v>1001</v>
      </c>
      <c r="S280">
        <v>1.3457711442786069</v>
      </c>
      <c r="T280" t="s">
        <v>51</v>
      </c>
      <c r="U280">
        <v>6107</v>
      </c>
      <c r="V280">
        <v>36</v>
      </c>
      <c r="W280">
        <v>45</v>
      </c>
      <c r="X280">
        <v>402</v>
      </c>
      <c r="Y280">
        <v>12.2</v>
      </c>
      <c r="Z280" t="s">
        <v>152</v>
      </c>
      <c r="AA280">
        <v>38</v>
      </c>
      <c r="AB280">
        <v>62</v>
      </c>
      <c r="AC280" t="s">
        <v>53</v>
      </c>
      <c r="AD280">
        <v>4597</v>
      </c>
      <c r="AE280">
        <v>2137</v>
      </c>
      <c r="AF280">
        <v>647.61</v>
      </c>
      <c r="AG280">
        <v>98</v>
      </c>
      <c r="AH280">
        <v>2</v>
      </c>
      <c r="AI280">
        <v>56.843244897959181</v>
      </c>
      <c r="AJ280">
        <v>29.74</v>
      </c>
      <c r="AK280">
        <v>38.11</v>
      </c>
      <c r="AL280">
        <v>19.260000000000002</v>
      </c>
      <c r="AM280">
        <v>469</v>
      </c>
      <c r="AN280">
        <v>66.62</v>
      </c>
      <c r="AO280">
        <v>429.5</v>
      </c>
      <c r="AP280">
        <v>12.2</v>
      </c>
      <c r="AQ280">
        <v>36</v>
      </c>
      <c r="AR280">
        <v>24.6</v>
      </c>
    </row>
    <row r="281" spans="1:44" x14ac:dyDescent="0.3">
      <c r="A281">
        <v>280</v>
      </c>
      <c r="B281" t="s">
        <v>1005</v>
      </c>
      <c r="C281">
        <v>2024</v>
      </c>
      <c r="D281" t="s">
        <v>1006</v>
      </c>
      <c r="E281">
        <v>13</v>
      </c>
      <c r="F281" t="s">
        <v>1007</v>
      </c>
      <c r="G281" t="s">
        <v>131</v>
      </c>
      <c r="H281" t="s">
        <v>100</v>
      </c>
      <c r="I281" t="s">
        <v>1008</v>
      </c>
      <c r="J281" t="s">
        <v>50</v>
      </c>
      <c r="K281">
        <v>23.6</v>
      </c>
      <c r="L281">
        <v>14</v>
      </c>
      <c r="M281">
        <v>9.6</v>
      </c>
      <c r="N281">
        <v>3101</v>
      </c>
      <c r="O281">
        <v>541</v>
      </c>
      <c r="P281">
        <v>9.6</v>
      </c>
      <c r="Q281">
        <v>149</v>
      </c>
      <c r="R281">
        <v>312</v>
      </c>
      <c r="S281">
        <v>228.65595942519019</v>
      </c>
      <c r="T281" t="s">
        <v>71</v>
      </c>
      <c r="U281">
        <v>14590</v>
      </c>
      <c r="V281">
        <v>10</v>
      </c>
      <c r="W281">
        <v>12</v>
      </c>
      <c r="X281">
        <v>2.3660000000000001</v>
      </c>
      <c r="Y281">
        <v>7.6</v>
      </c>
      <c r="Z281" t="s">
        <v>852</v>
      </c>
      <c r="AA281">
        <v>38</v>
      </c>
      <c r="AB281">
        <v>62</v>
      </c>
      <c r="AC281" t="s">
        <v>53</v>
      </c>
      <c r="AD281">
        <v>10506</v>
      </c>
      <c r="AE281">
        <v>4416</v>
      </c>
      <c r="AF281">
        <v>1349.57</v>
      </c>
      <c r="AG281">
        <v>37</v>
      </c>
      <c r="AH281">
        <v>29</v>
      </c>
      <c r="AI281">
        <v>35.237824324324329</v>
      </c>
      <c r="AJ281">
        <v>25.61</v>
      </c>
      <c r="AK281">
        <v>22.27</v>
      </c>
      <c r="AL281">
        <v>5.48</v>
      </c>
      <c r="AM281">
        <v>472</v>
      </c>
      <c r="AN281">
        <v>66.400000000000006</v>
      </c>
      <c r="AO281">
        <v>130.56</v>
      </c>
      <c r="AP281">
        <v>7.6</v>
      </c>
      <c r="AQ281">
        <v>10</v>
      </c>
      <c r="AR281">
        <v>24.5</v>
      </c>
    </row>
    <row r="282" spans="1:44" x14ac:dyDescent="0.3">
      <c r="A282">
        <v>281</v>
      </c>
      <c r="B282" t="s">
        <v>1009</v>
      </c>
      <c r="C282">
        <v>2024</v>
      </c>
      <c r="D282">
        <f>476</f>
        <v>476</v>
      </c>
      <c r="E282">
        <v>11</v>
      </c>
      <c r="F282" t="s">
        <v>1010</v>
      </c>
      <c r="G282" t="s">
        <v>131</v>
      </c>
      <c r="H282" t="s">
        <v>100</v>
      </c>
      <c r="I282" t="s">
        <v>1011</v>
      </c>
      <c r="J282" t="s">
        <v>50</v>
      </c>
      <c r="K282">
        <v>28.5</v>
      </c>
      <c r="L282">
        <v>38.799999999999997</v>
      </c>
      <c r="M282">
        <v>11.6</v>
      </c>
      <c r="N282">
        <v>2714</v>
      </c>
      <c r="O282">
        <v>327</v>
      </c>
      <c r="P282">
        <v>11.6</v>
      </c>
      <c r="Q282">
        <v>107</v>
      </c>
      <c r="R282">
        <v>369</v>
      </c>
      <c r="S282">
        <v>164.65256797583081</v>
      </c>
      <c r="T282" t="s">
        <v>71</v>
      </c>
      <c r="U282">
        <v>15333</v>
      </c>
      <c r="V282">
        <v>7</v>
      </c>
      <c r="W282">
        <v>7</v>
      </c>
      <c r="X282">
        <v>1.986</v>
      </c>
      <c r="Y282">
        <v>10.199999999999999</v>
      </c>
      <c r="Z282" t="s">
        <v>386</v>
      </c>
      <c r="AA282">
        <v>35</v>
      </c>
      <c r="AB282">
        <v>65</v>
      </c>
      <c r="AC282" t="s">
        <v>53</v>
      </c>
      <c r="AD282">
        <v>11306</v>
      </c>
      <c r="AE282">
        <v>4049</v>
      </c>
      <c r="AF282">
        <v>1349.57</v>
      </c>
      <c r="AG282">
        <v>37</v>
      </c>
      <c r="AH282">
        <v>29</v>
      </c>
      <c r="AI282">
        <v>35.237824324324329</v>
      </c>
      <c r="AJ282">
        <v>25.61</v>
      </c>
      <c r="AK282">
        <v>22.27</v>
      </c>
      <c r="AL282">
        <v>5.48</v>
      </c>
      <c r="AM282">
        <v>476</v>
      </c>
      <c r="AN282">
        <v>66.12</v>
      </c>
      <c r="AO282">
        <v>154.56</v>
      </c>
      <c r="AP282">
        <v>10.199999999999999</v>
      </c>
      <c r="AQ282">
        <v>7</v>
      </c>
      <c r="AR282">
        <v>24.3</v>
      </c>
    </row>
    <row r="283" spans="1:44" x14ac:dyDescent="0.3">
      <c r="A283">
        <v>282</v>
      </c>
      <c r="B283" t="s">
        <v>1012</v>
      </c>
      <c r="C283">
        <v>2024</v>
      </c>
      <c r="D283" t="s">
        <v>1013</v>
      </c>
      <c r="E283">
        <v>209</v>
      </c>
      <c r="F283" t="s">
        <v>1014</v>
      </c>
      <c r="G283" t="s">
        <v>63</v>
      </c>
      <c r="H283" t="s">
        <v>64</v>
      </c>
      <c r="I283" t="s">
        <v>1015</v>
      </c>
      <c r="J283" t="s">
        <v>50</v>
      </c>
      <c r="K283">
        <v>4.5999999999999996</v>
      </c>
      <c r="L283">
        <v>4.8</v>
      </c>
      <c r="M283">
        <v>85.1</v>
      </c>
      <c r="N283">
        <v>1891</v>
      </c>
      <c r="O283">
        <v>1001</v>
      </c>
      <c r="P283">
        <v>85.1</v>
      </c>
      <c r="Q283">
        <v>175</v>
      </c>
      <c r="R283">
        <v>916</v>
      </c>
      <c r="S283">
        <v>2.7127371273712741</v>
      </c>
      <c r="T283" t="s">
        <v>58</v>
      </c>
      <c r="U283">
        <v>7271</v>
      </c>
      <c r="V283">
        <v>9</v>
      </c>
      <c r="W283">
        <v>13</v>
      </c>
      <c r="X283">
        <v>369</v>
      </c>
      <c r="Y283">
        <v>21.6</v>
      </c>
      <c r="Z283" t="s">
        <v>1016</v>
      </c>
      <c r="AA283">
        <v>24</v>
      </c>
      <c r="AB283">
        <v>76</v>
      </c>
      <c r="AC283" t="s">
        <v>53</v>
      </c>
      <c r="AD283">
        <v>4991</v>
      </c>
      <c r="AE283">
        <v>2315</v>
      </c>
      <c r="AF283">
        <v>647.61</v>
      </c>
      <c r="AG283">
        <v>98</v>
      </c>
      <c r="AH283">
        <v>2</v>
      </c>
      <c r="AI283">
        <v>56.843244897959181</v>
      </c>
      <c r="AJ283">
        <v>29.74</v>
      </c>
      <c r="AK283">
        <v>38.11</v>
      </c>
      <c r="AL283">
        <v>19.260000000000002</v>
      </c>
      <c r="AM283">
        <v>480</v>
      </c>
      <c r="AN283">
        <v>65.83</v>
      </c>
      <c r="AO283">
        <v>417.46</v>
      </c>
      <c r="AP283">
        <v>21.6</v>
      </c>
      <c r="AQ283">
        <v>9</v>
      </c>
      <c r="AR283">
        <v>24</v>
      </c>
    </row>
    <row r="284" spans="1:44" x14ac:dyDescent="0.3">
      <c r="A284">
        <v>283</v>
      </c>
      <c r="B284" t="s">
        <v>1017</v>
      </c>
      <c r="C284">
        <v>2024</v>
      </c>
      <c r="D284">
        <f>481</f>
        <v>481</v>
      </c>
      <c r="E284">
        <v>50</v>
      </c>
      <c r="F284" t="s">
        <v>1018</v>
      </c>
      <c r="G284" t="s">
        <v>47</v>
      </c>
      <c r="H284" t="s">
        <v>48</v>
      </c>
      <c r="I284" t="s">
        <v>47</v>
      </c>
      <c r="J284" t="s">
        <v>50</v>
      </c>
      <c r="K284">
        <v>8.8000000000000007</v>
      </c>
      <c r="L284">
        <v>5.3</v>
      </c>
      <c r="M284">
        <v>39.700000000000003</v>
      </c>
      <c r="N284">
        <v>5094</v>
      </c>
      <c r="O284">
        <v>673</v>
      </c>
      <c r="P284">
        <v>39.700000000000003</v>
      </c>
      <c r="Q284">
        <v>303</v>
      </c>
      <c r="R284">
        <v>866</v>
      </c>
      <c r="S284">
        <v>0.90945945945945961</v>
      </c>
      <c r="T284" t="s">
        <v>96</v>
      </c>
      <c r="U284">
        <v>8130</v>
      </c>
      <c r="V284">
        <v>23</v>
      </c>
      <c r="W284">
        <v>31</v>
      </c>
      <c r="X284">
        <v>740</v>
      </c>
      <c r="Y284">
        <v>14.8</v>
      </c>
      <c r="Z284" t="s">
        <v>138</v>
      </c>
      <c r="AA284">
        <v>59</v>
      </c>
      <c r="AB284">
        <v>41</v>
      </c>
      <c r="AC284" t="s">
        <v>53</v>
      </c>
      <c r="AD284">
        <v>6838</v>
      </c>
      <c r="AE284">
        <v>2197</v>
      </c>
      <c r="AF284">
        <v>614.48</v>
      </c>
      <c r="AG284">
        <v>69</v>
      </c>
      <c r="AH284">
        <v>1</v>
      </c>
      <c r="AI284">
        <v>50.817340579710141</v>
      </c>
      <c r="AJ284">
        <v>35.82</v>
      </c>
      <c r="AK284">
        <v>38.92</v>
      </c>
      <c r="AL284">
        <v>35.29</v>
      </c>
      <c r="AM284">
        <v>481</v>
      </c>
      <c r="AN284">
        <v>65.760000000000005</v>
      </c>
      <c r="AO284">
        <v>370.22</v>
      </c>
      <c r="AP284">
        <v>14.8</v>
      </c>
      <c r="AQ284">
        <v>23</v>
      </c>
      <c r="AR284">
        <v>23.9</v>
      </c>
    </row>
    <row r="285" spans="1:44" x14ac:dyDescent="0.3">
      <c r="A285">
        <v>284</v>
      </c>
      <c r="B285" t="s">
        <v>1019</v>
      </c>
      <c r="C285">
        <v>2024</v>
      </c>
      <c r="D285">
        <f>481</f>
        <v>481</v>
      </c>
      <c r="E285">
        <v>54</v>
      </c>
      <c r="F285" t="s">
        <v>1018</v>
      </c>
      <c r="G285" t="s">
        <v>150</v>
      </c>
      <c r="H285" t="s">
        <v>48</v>
      </c>
      <c r="I285" t="s">
        <v>616</v>
      </c>
      <c r="J285" t="s">
        <v>50</v>
      </c>
      <c r="K285">
        <v>21.3</v>
      </c>
      <c r="L285">
        <v>33.200000000000003</v>
      </c>
      <c r="M285">
        <v>14.8</v>
      </c>
      <c r="N285">
        <v>6193</v>
      </c>
      <c r="O285">
        <v>34361</v>
      </c>
      <c r="P285">
        <v>14.8</v>
      </c>
      <c r="Q285">
        <v>195</v>
      </c>
      <c r="R285">
        <v>47.3</v>
      </c>
      <c r="S285">
        <v>5.47</v>
      </c>
      <c r="T285" t="s">
        <v>71</v>
      </c>
      <c r="U285">
        <v>19807</v>
      </c>
      <c r="V285">
        <v>15</v>
      </c>
      <c r="W285">
        <v>16</v>
      </c>
      <c r="X285">
        <v>2.54</v>
      </c>
      <c r="Y285">
        <v>39.5</v>
      </c>
      <c r="Z285" t="s">
        <v>197</v>
      </c>
      <c r="AA285">
        <v>45</v>
      </c>
      <c r="AB285">
        <v>55</v>
      </c>
      <c r="AC285" t="s">
        <v>53</v>
      </c>
      <c r="AD285">
        <v>10836</v>
      </c>
      <c r="AE285">
        <v>7019</v>
      </c>
      <c r="AF285">
        <v>409.72</v>
      </c>
      <c r="AG285">
        <v>9</v>
      </c>
      <c r="AH285">
        <v>31</v>
      </c>
      <c r="AI285">
        <v>59.471888888888877</v>
      </c>
      <c r="AJ285">
        <v>45.16</v>
      </c>
      <c r="AK285">
        <v>47.76</v>
      </c>
      <c r="AL285">
        <v>22.4</v>
      </c>
      <c r="AM285">
        <v>481</v>
      </c>
      <c r="AN285">
        <v>65.760000000000005</v>
      </c>
      <c r="AO285">
        <v>27.8</v>
      </c>
      <c r="AP285">
        <v>39.5</v>
      </c>
      <c r="AQ285">
        <v>15</v>
      </c>
      <c r="AR285">
        <v>23.9</v>
      </c>
    </row>
    <row r="286" spans="1:44" x14ac:dyDescent="0.3">
      <c r="A286">
        <v>285</v>
      </c>
      <c r="B286" t="s">
        <v>1020</v>
      </c>
      <c r="C286">
        <v>2024</v>
      </c>
      <c r="D286">
        <f>481</f>
        <v>481</v>
      </c>
      <c r="E286">
        <v>3</v>
      </c>
      <c r="F286" t="s">
        <v>1018</v>
      </c>
      <c r="G286" t="s">
        <v>599</v>
      </c>
      <c r="H286" t="s">
        <v>100</v>
      </c>
      <c r="I286" t="s">
        <v>600</v>
      </c>
      <c r="J286" t="s">
        <v>50</v>
      </c>
      <c r="K286">
        <v>23.3</v>
      </c>
      <c r="L286">
        <v>36</v>
      </c>
      <c r="M286">
        <v>1.2</v>
      </c>
      <c r="N286">
        <v>2334</v>
      </c>
      <c r="O286">
        <v>1191</v>
      </c>
      <c r="P286">
        <v>1.2</v>
      </c>
      <c r="Q286">
        <v>33</v>
      </c>
      <c r="R286">
        <v>21.2</v>
      </c>
      <c r="S286">
        <v>2.78</v>
      </c>
      <c r="T286" t="s">
        <v>58</v>
      </c>
      <c r="U286">
        <v>8114</v>
      </c>
      <c r="V286">
        <v>5</v>
      </c>
      <c r="W286">
        <v>17</v>
      </c>
      <c r="X286">
        <v>1.2809999999999999</v>
      </c>
      <c r="Y286">
        <v>12.4</v>
      </c>
      <c r="Z286" t="s">
        <v>197</v>
      </c>
      <c r="AA286">
        <v>55</v>
      </c>
      <c r="AB286">
        <v>45</v>
      </c>
      <c r="AC286" t="s">
        <v>53</v>
      </c>
      <c r="AD286">
        <v>5088</v>
      </c>
      <c r="AE286">
        <v>3258</v>
      </c>
      <c r="AF286">
        <v>917.63</v>
      </c>
      <c r="AG286">
        <v>2</v>
      </c>
      <c r="AH286">
        <v>1381</v>
      </c>
      <c r="AI286">
        <v>21.786750000000001</v>
      </c>
      <c r="AJ286">
        <v>20.73</v>
      </c>
      <c r="AK286">
        <v>4.62</v>
      </c>
      <c r="AL286">
        <v>20.190000000000001</v>
      </c>
      <c r="AM286">
        <v>481</v>
      </c>
      <c r="AN286">
        <v>65.760000000000005</v>
      </c>
      <c r="AO286">
        <v>9.1999999999999993</v>
      </c>
      <c r="AP286">
        <v>12.4</v>
      </c>
      <c r="AQ286">
        <v>5</v>
      </c>
      <c r="AR286">
        <v>23.9</v>
      </c>
    </row>
    <row r="287" spans="1:44" x14ac:dyDescent="0.3">
      <c r="A287">
        <v>286</v>
      </c>
      <c r="B287" t="s">
        <v>1021</v>
      </c>
      <c r="C287">
        <v>2024</v>
      </c>
      <c r="D287">
        <f>486</f>
        <v>486</v>
      </c>
      <c r="E287">
        <v>32</v>
      </c>
      <c r="F287" t="s">
        <v>1022</v>
      </c>
      <c r="G287" t="s">
        <v>99</v>
      </c>
      <c r="H287" t="s">
        <v>100</v>
      </c>
      <c r="I287" t="s">
        <v>849</v>
      </c>
      <c r="J287" t="s">
        <v>50</v>
      </c>
      <c r="K287">
        <v>4.3</v>
      </c>
      <c r="L287">
        <v>3</v>
      </c>
      <c r="M287">
        <v>96.4</v>
      </c>
      <c r="N287">
        <v>7496</v>
      </c>
      <c r="O287">
        <v>673</v>
      </c>
      <c r="P287">
        <v>96.4</v>
      </c>
      <c r="Q287">
        <v>462</v>
      </c>
      <c r="R287">
        <v>291</v>
      </c>
      <c r="S287">
        <v>331.20078740157481</v>
      </c>
      <c r="T287" t="s">
        <v>77</v>
      </c>
      <c r="U287">
        <v>37498</v>
      </c>
      <c r="V287">
        <v>3</v>
      </c>
      <c r="W287">
        <v>2</v>
      </c>
      <c r="X287">
        <v>2.032</v>
      </c>
      <c r="Y287">
        <v>15.7</v>
      </c>
      <c r="Z287" t="s">
        <v>390</v>
      </c>
      <c r="AA287">
        <v>28</v>
      </c>
      <c r="AB287">
        <v>72</v>
      </c>
      <c r="AC287" t="s">
        <v>53</v>
      </c>
      <c r="AD287">
        <v>31767</v>
      </c>
      <c r="AE287">
        <v>8050</v>
      </c>
      <c r="AF287">
        <v>616.32000000000005</v>
      </c>
      <c r="AG287">
        <v>35</v>
      </c>
      <c r="AH287">
        <v>12</v>
      </c>
      <c r="AI287">
        <v>56.538228571428569</v>
      </c>
      <c r="AJ287">
        <v>21.88</v>
      </c>
      <c r="AK287">
        <v>70.61</v>
      </c>
      <c r="AL287">
        <v>14.17</v>
      </c>
      <c r="AM287">
        <v>486</v>
      </c>
      <c r="AN287">
        <v>65.400000000000006</v>
      </c>
      <c r="AO287">
        <v>174.24</v>
      </c>
      <c r="AP287">
        <v>15.7</v>
      </c>
      <c r="AQ287">
        <v>3</v>
      </c>
      <c r="AR287">
        <v>23.7</v>
      </c>
    </row>
    <row r="288" spans="1:44" x14ac:dyDescent="0.3">
      <c r="A288">
        <v>287</v>
      </c>
      <c r="B288" t="s">
        <v>1023</v>
      </c>
      <c r="C288">
        <v>2024</v>
      </c>
      <c r="D288">
        <f>486</f>
        <v>486</v>
      </c>
      <c r="E288">
        <v>16</v>
      </c>
      <c r="F288" t="s">
        <v>1022</v>
      </c>
      <c r="G288" t="s">
        <v>114</v>
      </c>
      <c r="H288" t="s">
        <v>64</v>
      </c>
      <c r="I288" t="s">
        <v>1024</v>
      </c>
      <c r="J288" t="s">
        <v>50</v>
      </c>
      <c r="K288">
        <v>13.5</v>
      </c>
      <c r="L288">
        <v>20.9</v>
      </c>
      <c r="M288">
        <v>47.5</v>
      </c>
      <c r="N288">
        <v>4688</v>
      </c>
      <c r="O288">
        <v>200</v>
      </c>
      <c r="P288">
        <v>47.5</v>
      </c>
      <c r="Q288">
        <v>291</v>
      </c>
      <c r="R288">
        <v>360</v>
      </c>
      <c r="S288">
        <v>181.48820326678771</v>
      </c>
      <c r="T288" t="s">
        <v>58</v>
      </c>
      <c r="U288">
        <v>22936</v>
      </c>
      <c r="V288">
        <v>10</v>
      </c>
      <c r="W288">
        <v>11</v>
      </c>
      <c r="X288">
        <v>1.1020000000000001</v>
      </c>
      <c r="Y288">
        <v>27.3</v>
      </c>
      <c r="Z288" t="s">
        <v>82</v>
      </c>
      <c r="AA288">
        <v>59</v>
      </c>
      <c r="AB288">
        <v>41</v>
      </c>
      <c r="AC288" t="s">
        <v>53</v>
      </c>
      <c r="AD288">
        <v>13447</v>
      </c>
      <c r="AE288">
        <v>9867</v>
      </c>
      <c r="AF288">
        <v>559.59</v>
      </c>
      <c r="AG288">
        <v>23</v>
      </c>
      <c r="AH288">
        <v>21</v>
      </c>
      <c r="AI288">
        <v>55.883456521739127</v>
      </c>
      <c r="AJ288">
        <v>36.42</v>
      </c>
      <c r="AK288">
        <v>48.16</v>
      </c>
      <c r="AL288">
        <v>22.85</v>
      </c>
      <c r="AM288">
        <v>486</v>
      </c>
      <c r="AN288">
        <v>65.400000000000006</v>
      </c>
      <c r="AO288">
        <v>172.5</v>
      </c>
      <c r="AP288">
        <v>27.3</v>
      </c>
      <c r="AQ288">
        <v>10</v>
      </c>
      <c r="AR288">
        <v>23.7</v>
      </c>
    </row>
    <row r="289" spans="1:44" x14ac:dyDescent="0.3">
      <c r="A289">
        <v>288</v>
      </c>
      <c r="B289" t="s">
        <v>1025</v>
      </c>
      <c r="C289">
        <v>2024</v>
      </c>
      <c r="D289">
        <f>491</f>
        <v>491</v>
      </c>
      <c r="E289">
        <v>22</v>
      </c>
      <c r="F289" t="s">
        <v>1026</v>
      </c>
      <c r="G289" t="s">
        <v>99</v>
      </c>
      <c r="H289" t="s">
        <v>100</v>
      </c>
      <c r="I289" t="s">
        <v>1027</v>
      </c>
      <c r="J289" t="s">
        <v>50</v>
      </c>
      <c r="K289">
        <v>9.1</v>
      </c>
      <c r="L289">
        <v>3.2</v>
      </c>
      <c r="M289">
        <v>79.8</v>
      </c>
      <c r="N289">
        <v>10052</v>
      </c>
      <c r="O289">
        <v>405</v>
      </c>
      <c r="P289">
        <v>79.8</v>
      </c>
      <c r="Q289">
        <v>509</v>
      </c>
      <c r="R289">
        <v>176</v>
      </c>
      <c r="S289">
        <v>139.3668272539573</v>
      </c>
      <c r="T289" t="s">
        <v>58</v>
      </c>
      <c r="U289">
        <v>37389</v>
      </c>
      <c r="V289">
        <v>3</v>
      </c>
      <c r="W289">
        <v>5</v>
      </c>
      <c r="X289">
        <v>2.9060000000000001</v>
      </c>
      <c r="Y289">
        <v>14.5</v>
      </c>
      <c r="Z289" t="s">
        <v>272</v>
      </c>
      <c r="AA289">
        <v>32</v>
      </c>
      <c r="AB289">
        <v>68</v>
      </c>
      <c r="AC289" t="s">
        <v>53</v>
      </c>
      <c r="AD289">
        <v>28211</v>
      </c>
      <c r="AE289">
        <v>14062</v>
      </c>
      <c r="AF289">
        <v>616.32000000000005</v>
      </c>
      <c r="AG289">
        <v>35</v>
      </c>
      <c r="AH289">
        <v>12</v>
      </c>
      <c r="AI289">
        <v>56.538228571428569</v>
      </c>
      <c r="AJ289">
        <v>21.88</v>
      </c>
      <c r="AK289">
        <v>70.61</v>
      </c>
      <c r="AL289">
        <v>14.17</v>
      </c>
      <c r="AM289">
        <v>491</v>
      </c>
      <c r="AN289">
        <v>65.05</v>
      </c>
      <c r="AO289">
        <v>118.28</v>
      </c>
      <c r="AP289">
        <v>14.5</v>
      </c>
      <c r="AQ289">
        <v>3</v>
      </c>
      <c r="AR289">
        <v>23.5</v>
      </c>
    </row>
    <row r="290" spans="1:44" x14ac:dyDescent="0.3">
      <c r="A290">
        <v>289</v>
      </c>
      <c r="B290" t="s">
        <v>1028</v>
      </c>
      <c r="C290">
        <v>2024</v>
      </c>
      <c r="D290">
        <f>491</f>
        <v>491</v>
      </c>
      <c r="E290">
        <v>59</v>
      </c>
      <c r="F290" t="s">
        <v>1026</v>
      </c>
      <c r="G290" t="s">
        <v>63</v>
      </c>
      <c r="H290" t="s">
        <v>64</v>
      </c>
      <c r="I290" t="s">
        <v>1029</v>
      </c>
      <c r="J290" t="s">
        <v>50</v>
      </c>
      <c r="K290">
        <v>19.899999999999999</v>
      </c>
      <c r="L290">
        <v>11.2</v>
      </c>
      <c r="M290">
        <v>20.9</v>
      </c>
      <c r="N290">
        <v>6954</v>
      </c>
      <c r="O290">
        <v>151</v>
      </c>
      <c r="P290">
        <v>20.9</v>
      </c>
      <c r="Q290">
        <v>199</v>
      </c>
      <c r="R290">
        <v>148</v>
      </c>
      <c r="S290">
        <v>51.641586867305072</v>
      </c>
      <c r="T290" t="s">
        <v>96</v>
      </c>
      <c r="U290">
        <v>28583</v>
      </c>
      <c r="V290">
        <v>6</v>
      </c>
      <c r="W290">
        <v>5</v>
      </c>
      <c r="X290">
        <v>2.9239999999999999</v>
      </c>
      <c r="Y290">
        <v>10.9</v>
      </c>
      <c r="Z290" t="s">
        <v>146</v>
      </c>
      <c r="AA290">
        <v>55</v>
      </c>
      <c r="AB290">
        <v>45</v>
      </c>
      <c r="AC290" t="s">
        <v>53</v>
      </c>
      <c r="AD290">
        <v>20986</v>
      </c>
      <c r="AE290">
        <v>7397</v>
      </c>
      <c r="AF290">
        <v>647.61</v>
      </c>
      <c r="AG290">
        <v>98</v>
      </c>
      <c r="AH290">
        <v>2</v>
      </c>
      <c r="AI290">
        <v>56.843244897959181</v>
      </c>
      <c r="AJ290">
        <v>29.74</v>
      </c>
      <c r="AK290">
        <v>38.11</v>
      </c>
      <c r="AL290">
        <v>19.260000000000002</v>
      </c>
      <c r="AM290">
        <v>491</v>
      </c>
      <c r="AN290">
        <v>65.05</v>
      </c>
      <c r="AO290">
        <v>71.739999999999995</v>
      </c>
      <c r="AP290">
        <v>10.9</v>
      </c>
      <c r="AQ290">
        <v>6</v>
      </c>
      <c r="AR290">
        <v>23.5</v>
      </c>
    </row>
    <row r="291" spans="1:44" x14ac:dyDescent="0.3">
      <c r="A291">
        <v>290</v>
      </c>
      <c r="B291" t="s">
        <v>1030</v>
      </c>
      <c r="C291">
        <v>2024</v>
      </c>
      <c r="D291">
        <f>494</f>
        <v>494</v>
      </c>
      <c r="E291">
        <v>124</v>
      </c>
      <c r="F291" t="s">
        <v>1031</v>
      </c>
      <c r="G291" t="s">
        <v>63</v>
      </c>
      <c r="H291" t="s">
        <v>64</v>
      </c>
      <c r="I291" t="s">
        <v>1032</v>
      </c>
      <c r="J291" t="s">
        <v>65</v>
      </c>
      <c r="K291">
        <v>8.3000000000000007</v>
      </c>
      <c r="L291">
        <v>7</v>
      </c>
      <c r="M291">
        <v>70.7</v>
      </c>
      <c r="N291">
        <v>2299</v>
      </c>
      <c r="O291">
        <v>254</v>
      </c>
      <c r="P291">
        <v>70.7</v>
      </c>
      <c r="Q291">
        <v>155</v>
      </c>
      <c r="R291">
        <v>664</v>
      </c>
      <c r="S291">
        <v>0.39749608763693273</v>
      </c>
      <c r="T291" t="s">
        <v>96</v>
      </c>
      <c r="U291">
        <v>7496</v>
      </c>
      <c r="V291">
        <v>20</v>
      </c>
      <c r="W291">
        <v>16</v>
      </c>
      <c r="X291">
        <v>639</v>
      </c>
      <c r="Y291">
        <v>15.3</v>
      </c>
      <c r="Z291" t="s">
        <v>182</v>
      </c>
      <c r="AA291">
        <v>31</v>
      </c>
      <c r="AB291">
        <v>69</v>
      </c>
      <c r="AC291" t="s">
        <v>53</v>
      </c>
      <c r="AD291">
        <v>6013</v>
      </c>
      <c r="AE291">
        <v>860</v>
      </c>
      <c r="AF291">
        <v>647.61</v>
      </c>
      <c r="AG291">
        <v>98</v>
      </c>
      <c r="AH291">
        <v>2</v>
      </c>
      <c r="AI291">
        <v>56.843244897959181</v>
      </c>
      <c r="AJ291">
        <v>29.74</v>
      </c>
      <c r="AK291">
        <v>38.11</v>
      </c>
      <c r="AL291">
        <v>19.260000000000002</v>
      </c>
      <c r="AM291">
        <v>494</v>
      </c>
      <c r="AN291">
        <v>64.83</v>
      </c>
      <c r="AO291">
        <v>308.02</v>
      </c>
      <c r="AP291">
        <v>15.3</v>
      </c>
      <c r="AQ291">
        <v>20</v>
      </c>
      <c r="AR291">
        <v>23.4</v>
      </c>
    </row>
    <row r="292" spans="1:44" x14ac:dyDescent="0.3">
      <c r="A292">
        <v>291</v>
      </c>
      <c r="B292" t="s">
        <v>1033</v>
      </c>
      <c r="C292">
        <v>2024</v>
      </c>
      <c r="D292">
        <f>498</f>
        <v>498</v>
      </c>
      <c r="E292">
        <v>14</v>
      </c>
      <c r="F292" t="s">
        <v>1034</v>
      </c>
      <c r="G292" t="s">
        <v>161</v>
      </c>
      <c r="H292" t="s">
        <v>100</v>
      </c>
      <c r="I292" t="s">
        <v>162</v>
      </c>
      <c r="J292" t="s">
        <v>65</v>
      </c>
      <c r="K292">
        <v>26.7</v>
      </c>
      <c r="L292">
        <v>23</v>
      </c>
      <c r="M292">
        <v>7.7</v>
      </c>
      <c r="N292">
        <v>1026</v>
      </c>
      <c r="O292">
        <v>673</v>
      </c>
      <c r="P292">
        <v>7.7</v>
      </c>
      <c r="Q292">
        <v>97</v>
      </c>
      <c r="R292">
        <v>487</v>
      </c>
      <c r="S292">
        <v>276.27257799671588</v>
      </c>
      <c r="T292" t="s">
        <v>51</v>
      </c>
      <c r="U292">
        <v>13999</v>
      </c>
      <c r="V292">
        <v>15</v>
      </c>
      <c r="W292">
        <v>16</v>
      </c>
      <c r="X292">
        <v>2.4359999999999999</v>
      </c>
      <c r="Y292">
        <v>16.7</v>
      </c>
      <c r="Z292" t="s">
        <v>1035</v>
      </c>
      <c r="AA292">
        <v>100</v>
      </c>
      <c r="AB292">
        <v>0</v>
      </c>
      <c r="AC292" t="s">
        <v>53</v>
      </c>
      <c r="AD292">
        <v>9985</v>
      </c>
      <c r="AE292">
        <v>4241</v>
      </c>
      <c r="AF292">
        <v>682.03</v>
      </c>
      <c r="AG292">
        <v>18</v>
      </c>
      <c r="AH292">
        <v>62</v>
      </c>
      <c r="AI292">
        <v>43.175027777777778</v>
      </c>
      <c r="AJ292">
        <v>22.69</v>
      </c>
      <c r="AK292">
        <v>33</v>
      </c>
      <c r="AL292">
        <v>15.2</v>
      </c>
      <c r="AM292">
        <v>498</v>
      </c>
      <c r="AN292">
        <v>64.55</v>
      </c>
      <c r="AO292">
        <v>199.42</v>
      </c>
      <c r="AP292">
        <v>16.7</v>
      </c>
      <c r="AQ292">
        <v>15</v>
      </c>
      <c r="AR292">
        <v>23.2</v>
      </c>
    </row>
    <row r="293" spans="1:44" x14ac:dyDescent="0.3">
      <c r="A293">
        <v>292</v>
      </c>
      <c r="B293" t="s">
        <v>1036</v>
      </c>
      <c r="C293">
        <v>2024</v>
      </c>
      <c r="D293">
        <f>498</f>
        <v>498</v>
      </c>
      <c r="E293">
        <v>58</v>
      </c>
      <c r="F293" t="s">
        <v>1034</v>
      </c>
      <c r="G293" t="s">
        <v>47</v>
      </c>
      <c r="H293" t="s">
        <v>48</v>
      </c>
      <c r="I293" t="s">
        <v>1037</v>
      </c>
      <c r="J293" t="s">
        <v>50</v>
      </c>
      <c r="K293">
        <v>8.4</v>
      </c>
      <c r="L293">
        <v>13</v>
      </c>
      <c r="M293">
        <v>12.1</v>
      </c>
      <c r="N293">
        <v>2788</v>
      </c>
      <c r="O293">
        <v>898</v>
      </c>
      <c r="P293">
        <v>12.1</v>
      </c>
      <c r="Q293">
        <v>220</v>
      </c>
      <c r="R293">
        <v>893</v>
      </c>
      <c r="S293">
        <v>779.51388888888891</v>
      </c>
      <c r="T293" t="s">
        <v>96</v>
      </c>
      <c r="U293">
        <v>19825</v>
      </c>
      <c r="V293">
        <v>10</v>
      </c>
      <c r="W293">
        <v>29</v>
      </c>
      <c r="X293">
        <v>1.1519999999999999</v>
      </c>
      <c r="Y293">
        <v>20.100000000000001</v>
      </c>
      <c r="Z293" t="s">
        <v>116</v>
      </c>
      <c r="AA293">
        <v>55</v>
      </c>
      <c r="AB293">
        <v>45</v>
      </c>
      <c r="AC293" t="s">
        <v>53</v>
      </c>
      <c r="AD293">
        <v>18782</v>
      </c>
      <c r="AE293">
        <v>5658</v>
      </c>
      <c r="AF293">
        <v>614.48</v>
      </c>
      <c r="AG293">
        <v>69</v>
      </c>
      <c r="AH293">
        <v>1</v>
      </c>
      <c r="AI293">
        <v>50.817340579710141</v>
      </c>
      <c r="AJ293">
        <v>35.82</v>
      </c>
      <c r="AK293">
        <v>38.92</v>
      </c>
      <c r="AL293">
        <v>35.29</v>
      </c>
      <c r="AM293">
        <v>498</v>
      </c>
      <c r="AN293">
        <v>64.55</v>
      </c>
      <c r="AO293">
        <v>364.46</v>
      </c>
      <c r="AP293">
        <v>20.100000000000001</v>
      </c>
      <c r="AQ293">
        <v>10</v>
      </c>
      <c r="AR293">
        <v>23.2</v>
      </c>
    </row>
    <row r="294" spans="1:44" x14ac:dyDescent="0.3">
      <c r="A294">
        <v>293</v>
      </c>
      <c r="B294" t="s">
        <v>1038</v>
      </c>
      <c r="C294">
        <v>2024</v>
      </c>
      <c r="D294">
        <f>498</f>
        <v>498</v>
      </c>
      <c r="E294">
        <v>101</v>
      </c>
      <c r="F294" t="s">
        <v>1034</v>
      </c>
      <c r="G294" t="s">
        <v>63</v>
      </c>
      <c r="H294" t="s">
        <v>64</v>
      </c>
      <c r="I294" t="s">
        <v>1039</v>
      </c>
      <c r="J294" t="s">
        <v>50</v>
      </c>
      <c r="K294">
        <v>10.3</v>
      </c>
      <c r="L294">
        <v>7.9</v>
      </c>
      <c r="M294">
        <v>59.1</v>
      </c>
      <c r="N294">
        <v>6406</v>
      </c>
      <c r="O294">
        <v>405</v>
      </c>
      <c r="P294">
        <v>59.1</v>
      </c>
      <c r="Q294">
        <v>280</v>
      </c>
      <c r="R294">
        <v>371</v>
      </c>
      <c r="S294">
        <v>318.39622641509442</v>
      </c>
      <c r="T294" t="s">
        <v>51</v>
      </c>
      <c r="U294">
        <v>21545</v>
      </c>
      <c r="V294">
        <v>11</v>
      </c>
      <c r="W294">
        <v>11</v>
      </c>
      <c r="X294">
        <v>1.272</v>
      </c>
      <c r="Y294">
        <v>16.100000000000001</v>
      </c>
      <c r="Z294" t="s">
        <v>457</v>
      </c>
      <c r="AA294">
        <v>58</v>
      </c>
      <c r="AB294">
        <v>42</v>
      </c>
      <c r="AC294" t="s">
        <v>53</v>
      </c>
      <c r="AD294">
        <v>12906</v>
      </c>
      <c r="AE294">
        <v>8702</v>
      </c>
      <c r="AF294">
        <v>647.61</v>
      </c>
      <c r="AG294">
        <v>98</v>
      </c>
      <c r="AH294">
        <v>2</v>
      </c>
      <c r="AI294">
        <v>56.843244897959181</v>
      </c>
      <c r="AJ294">
        <v>29.74</v>
      </c>
      <c r="AK294">
        <v>38.11</v>
      </c>
      <c r="AL294">
        <v>19.260000000000002</v>
      </c>
      <c r="AM294">
        <v>498</v>
      </c>
      <c r="AN294">
        <v>64.55</v>
      </c>
      <c r="AO294">
        <v>183.86</v>
      </c>
      <c r="AP294">
        <v>16.100000000000001</v>
      </c>
      <c r="AQ294">
        <v>11</v>
      </c>
      <c r="AR294">
        <v>23.2</v>
      </c>
    </row>
    <row r="295" spans="1:44" x14ac:dyDescent="0.3">
      <c r="A295">
        <v>294</v>
      </c>
      <c r="B295" t="s">
        <v>1040</v>
      </c>
      <c r="C295">
        <v>2024</v>
      </c>
      <c r="D295">
        <f>502</f>
        <v>502</v>
      </c>
      <c r="E295">
        <v>9</v>
      </c>
      <c r="F295" t="s">
        <v>1041</v>
      </c>
      <c r="G295" t="s">
        <v>811</v>
      </c>
      <c r="H295" t="s">
        <v>100</v>
      </c>
      <c r="I295" t="s">
        <v>812</v>
      </c>
      <c r="J295" t="s">
        <v>65</v>
      </c>
      <c r="K295">
        <v>22.2</v>
      </c>
      <c r="L295">
        <v>44.9</v>
      </c>
      <c r="M295">
        <v>12.9</v>
      </c>
      <c r="N295">
        <v>1476</v>
      </c>
      <c r="O295">
        <v>460</v>
      </c>
      <c r="P295">
        <v>12.9</v>
      </c>
      <c r="Q295">
        <v>109</v>
      </c>
      <c r="R295">
        <v>967</v>
      </c>
      <c r="S295">
        <v>0.59740259740259738</v>
      </c>
      <c r="T295" t="s">
        <v>71</v>
      </c>
      <c r="U295">
        <v>9109</v>
      </c>
      <c r="V295">
        <v>8</v>
      </c>
      <c r="W295">
        <v>6</v>
      </c>
      <c r="X295">
        <v>770</v>
      </c>
      <c r="Y295">
        <v>14.8</v>
      </c>
      <c r="Z295" t="s">
        <v>102</v>
      </c>
      <c r="AA295">
        <v>48</v>
      </c>
      <c r="AB295">
        <v>52</v>
      </c>
      <c r="AC295" t="s">
        <v>53</v>
      </c>
      <c r="AD295">
        <v>5877</v>
      </c>
      <c r="AE295">
        <v>3103</v>
      </c>
      <c r="AF295">
        <v>913.31</v>
      </c>
      <c r="AG295">
        <v>10</v>
      </c>
      <c r="AH295">
        <v>382</v>
      </c>
      <c r="AI295">
        <v>34.574950000000001</v>
      </c>
      <c r="AJ295">
        <v>18.27</v>
      </c>
      <c r="AK295">
        <v>15.63</v>
      </c>
      <c r="AL295">
        <v>16.420000000000002</v>
      </c>
      <c r="AM295">
        <v>502</v>
      </c>
      <c r="AN295">
        <v>64.260000000000005</v>
      </c>
      <c r="AO295">
        <v>394.54</v>
      </c>
      <c r="AP295">
        <v>14.8</v>
      </c>
      <c r="AQ295">
        <v>8</v>
      </c>
      <c r="AR295">
        <v>23.1</v>
      </c>
    </row>
    <row r="296" spans="1:44" x14ac:dyDescent="0.3">
      <c r="A296">
        <v>295</v>
      </c>
      <c r="B296" t="s">
        <v>1042</v>
      </c>
      <c r="C296">
        <v>2024</v>
      </c>
      <c r="D296">
        <f>502</f>
        <v>502</v>
      </c>
      <c r="E296">
        <v>48</v>
      </c>
      <c r="F296" t="s">
        <v>1041</v>
      </c>
      <c r="G296" t="s">
        <v>47</v>
      </c>
      <c r="H296" t="s">
        <v>48</v>
      </c>
      <c r="I296" t="s">
        <v>1043</v>
      </c>
      <c r="J296" t="s">
        <v>50</v>
      </c>
      <c r="K296">
        <v>8.4</v>
      </c>
      <c r="L296">
        <v>9.6</v>
      </c>
      <c r="M296">
        <v>18.7</v>
      </c>
      <c r="N296">
        <v>7709</v>
      </c>
      <c r="O296">
        <v>304</v>
      </c>
      <c r="P296">
        <v>18.7</v>
      </c>
      <c r="Q296">
        <v>153</v>
      </c>
      <c r="R296">
        <v>943</v>
      </c>
      <c r="S296">
        <v>223.6938925680648</v>
      </c>
      <c r="T296" t="s">
        <v>96</v>
      </c>
      <c r="U296">
        <v>23625</v>
      </c>
      <c r="V296">
        <v>29</v>
      </c>
      <c r="W296">
        <v>36</v>
      </c>
      <c r="X296">
        <v>1.359</v>
      </c>
      <c r="Y296">
        <v>16.8</v>
      </c>
      <c r="Z296" t="s">
        <v>72</v>
      </c>
      <c r="AA296">
        <v>48</v>
      </c>
      <c r="AB296">
        <v>52</v>
      </c>
      <c r="AC296" t="s">
        <v>53</v>
      </c>
      <c r="AD296">
        <v>15232</v>
      </c>
      <c r="AE296">
        <v>7138</v>
      </c>
      <c r="AF296">
        <v>614.48</v>
      </c>
      <c r="AG296">
        <v>69</v>
      </c>
      <c r="AH296">
        <v>1</v>
      </c>
      <c r="AI296">
        <v>50.817340579710141</v>
      </c>
      <c r="AJ296">
        <v>35.82</v>
      </c>
      <c r="AK296">
        <v>38.92</v>
      </c>
      <c r="AL296">
        <v>35.29</v>
      </c>
      <c r="AM296">
        <v>502</v>
      </c>
      <c r="AN296">
        <v>64.260000000000005</v>
      </c>
      <c r="AO296">
        <v>388.42</v>
      </c>
      <c r="AP296">
        <v>16.8</v>
      </c>
      <c r="AQ296">
        <v>29</v>
      </c>
      <c r="AR296">
        <v>23.1</v>
      </c>
    </row>
    <row r="297" spans="1:44" x14ac:dyDescent="0.3">
      <c r="A297">
        <v>296</v>
      </c>
      <c r="B297" t="s">
        <v>1044</v>
      </c>
      <c r="C297">
        <v>2024</v>
      </c>
      <c r="D297">
        <f>505</f>
        <v>505</v>
      </c>
      <c r="E297">
        <v>2</v>
      </c>
      <c r="F297" t="s">
        <v>1045</v>
      </c>
      <c r="G297" t="s">
        <v>658</v>
      </c>
      <c r="H297" t="s">
        <v>100</v>
      </c>
      <c r="I297" t="s">
        <v>659</v>
      </c>
      <c r="J297" t="s">
        <v>65</v>
      </c>
      <c r="K297">
        <v>4.2</v>
      </c>
      <c r="L297">
        <v>4.2</v>
      </c>
      <c r="M297">
        <v>47.8</v>
      </c>
      <c r="N297">
        <v>3924</v>
      </c>
      <c r="O297">
        <v>79798</v>
      </c>
      <c r="P297">
        <v>47.8</v>
      </c>
      <c r="Q297">
        <v>278</v>
      </c>
      <c r="R297">
        <v>43.4</v>
      </c>
      <c r="S297">
        <v>3.19</v>
      </c>
      <c r="T297" t="s">
        <v>96</v>
      </c>
      <c r="U297">
        <v>14091</v>
      </c>
      <c r="V297">
        <v>92</v>
      </c>
      <c r="W297">
        <v>94</v>
      </c>
      <c r="X297">
        <v>486</v>
      </c>
      <c r="Y297">
        <v>41.8</v>
      </c>
      <c r="Z297" t="s">
        <v>457</v>
      </c>
      <c r="AA297">
        <v>57</v>
      </c>
      <c r="AB297">
        <v>43</v>
      </c>
      <c r="AC297" t="s">
        <v>53</v>
      </c>
      <c r="AD297">
        <v>15054</v>
      </c>
      <c r="AE297">
        <v>3210</v>
      </c>
      <c r="AF297">
        <v>550.16999999999996</v>
      </c>
      <c r="AG297">
        <v>2</v>
      </c>
      <c r="AH297">
        <v>196</v>
      </c>
      <c r="AI297">
        <v>56.012749999999997</v>
      </c>
      <c r="AJ297">
        <v>10.5</v>
      </c>
      <c r="AK297">
        <v>60.8</v>
      </c>
      <c r="AL297">
        <v>56.71</v>
      </c>
      <c r="AM297">
        <v>505</v>
      </c>
      <c r="AN297">
        <v>64.05</v>
      </c>
      <c r="AO297">
        <v>46.04</v>
      </c>
      <c r="AP297">
        <v>41.8</v>
      </c>
      <c r="AQ297">
        <v>92</v>
      </c>
      <c r="AR297">
        <v>23</v>
      </c>
    </row>
    <row r="298" spans="1:44" x14ac:dyDescent="0.3">
      <c r="A298">
        <v>297</v>
      </c>
      <c r="B298" t="s">
        <v>1046</v>
      </c>
      <c r="C298">
        <v>2024</v>
      </c>
      <c r="D298">
        <f>509</f>
        <v>509</v>
      </c>
      <c r="E298">
        <v>34</v>
      </c>
      <c r="F298" t="s">
        <v>1047</v>
      </c>
      <c r="G298" t="s">
        <v>161</v>
      </c>
      <c r="H298" t="s">
        <v>100</v>
      </c>
      <c r="I298" t="s">
        <v>162</v>
      </c>
      <c r="J298" t="s">
        <v>65</v>
      </c>
      <c r="K298">
        <v>21.5</v>
      </c>
      <c r="L298">
        <v>49.1</v>
      </c>
      <c r="M298">
        <v>5.5</v>
      </c>
      <c r="N298">
        <v>2295</v>
      </c>
      <c r="O298">
        <v>1001</v>
      </c>
      <c r="P298">
        <v>5.5</v>
      </c>
      <c r="Q298">
        <v>122</v>
      </c>
      <c r="R298">
        <v>838</v>
      </c>
      <c r="S298">
        <v>984.26745329400205</v>
      </c>
      <c r="T298" t="s">
        <v>77</v>
      </c>
      <c r="U298">
        <v>9688</v>
      </c>
      <c r="V298">
        <v>19</v>
      </c>
      <c r="W298">
        <v>18</v>
      </c>
      <c r="X298">
        <v>1.0169999999999999</v>
      </c>
      <c r="Y298">
        <v>23.9</v>
      </c>
      <c r="Z298" t="s">
        <v>72</v>
      </c>
      <c r="AA298">
        <v>46</v>
      </c>
      <c r="AB298">
        <v>54</v>
      </c>
      <c r="AC298" t="s">
        <v>53</v>
      </c>
      <c r="AD298">
        <v>7422</v>
      </c>
      <c r="AE298">
        <v>2895</v>
      </c>
      <c r="AF298">
        <v>682.03</v>
      </c>
      <c r="AG298">
        <v>18</v>
      </c>
      <c r="AH298">
        <v>62</v>
      </c>
      <c r="AI298">
        <v>43.175027777777778</v>
      </c>
      <c r="AJ298">
        <v>22.69</v>
      </c>
      <c r="AK298">
        <v>33</v>
      </c>
      <c r="AL298">
        <v>15.2</v>
      </c>
      <c r="AM298">
        <v>509</v>
      </c>
      <c r="AN298">
        <v>63.76</v>
      </c>
      <c r="AO298">
        <v>338.5</v>
      </c>
      <c r="AP298">
        <v>23.9</v>
      </c>
      <c r="AQ298">
        <v>19</v>
      </c>
      <c r="AR298">
        <v>22.9</v>
      </c>
    </row>
    <row r="299" spans="1:44" x14ac:dyDescent="0.3">
      <c r="A299">
        <v>298</v>
      </c>
      <c r="B299" t="s">
        <v>1048</v>
      </c>
      <c r="C299">
        <v>2024</v>
      </c>
      <c r="D299">
        <f>509</f>
        <v>509</v>
      </c>
      <c r="E299">
        <v>38</v>
      </c>
      <c r="F299" t="s">
        <v>1047</v>
      </c>
      <c r="G299" t="s">
        <v>150</v>
      </c>
      <c r="H299" t="s">
        <v>48</v>
      </c>
      <c r="I299" t="s">
        <v>1049</v>
      </c>
      <c r="J299" t="s">
        <v>50</v>
      </c>
      <c r="K299">
        <v>10.3</v>
      </c>
      <c r="L299">
        <v>19.3</v>
      </c>
      <c r="M299">
        <v>27</v>
      </c>
      <c r="N299">
        <v>2050</v>
      </c>
      <c r="O299">
        <v>327</v>
      </c>
      <c r="P299">
        <v>27</v>
      </c>
      <c r="Q299">
        <v>141</v>
      </c>
      <c r="R299">
        <v>667</v>
      </c>
      <c r="S299">
        <v>0.36659192825112108</v>
      </c>
      <c r="T299" t="s">
        <v>71</v>
      </c>
      <c r="U299">
        <v>8944</v>
      </c>
      <c r="V299">
        <v>14</v>
      </c>
      <c r="W299">
        <v>17</v>
      </c>
      <c r="X299">
        <v>892</v>
      </c>
      <c r="Y299">
        <v>24.5</v>
      </c>
      <c r="Z299" t="s">
        <v>102</v>
      </c>
      <c r="AA299">
        <v>47</v>
      </c>
      <c r="AB299">
        <v>53</v>
      </c>
      <c r="AC299" t="s">
        <v>53</v>
      </c>
      <c r="AD299">
        <v>5440</v>
      </c>
      <c r="AE299">
        <v>2036</v>
      </c>
      <c r="AF299">
        <v>409.72</v>
      </c>
      <c r="AG299">
        <v>9</v>
      </c>
      <c r="AH299">
        <v>31</v>
      </c>
      <c r="AI299">
        <v>59.471888888888877</v>
      </c>
      <c r="AJ299">
        <v>45.16</v>
      </c>
      <c r="AK299">
        <v>47.76</v>
      </c>
      <c r="AL299">
        <v>22.4</v>
      </c>
      <c r="AM299">
        <v>509</v>
      </c>
      <c r="AN299">
        <v>63.76</v>
      </c>
      <c r="AO299">
        <v>283</v>
      </c>
      <c r="AP299">
        <v>24.5</v>
      </c>
      <c r="AQ299">
        <v>14</v>
      </c>
      <c r="AR299">
        <v>22.9</v>
      </c>
    </row>
    <row r="300" spans="1:44" x14ac:dyDescent="0.3">
      <c r="A300">
        <v>299</v>
      </c>
      <c r="B300" t="s">
        <v>1050</v>
      </c>
      <c r="C300">
        <v>2024</v>
      </c>
      <c r="D300">
        <f>511</f>
        <v>511</v>
      </c>
      <c r="E300">
        <v>38</v>
      </c>
      <c r="F300" t="s">
        <v>1051</v>
      </c>
      <c r="G300" t="s">
        <v>99</v>
      </c>
      <c r="H300" t="s">
        <v>100</v>
      </c>
      <c r="I300" t="s">
        <v>189</v>
      </c>
      <c r="J300" t="s">
        <v>50</v>
      </c>
      <c r="K300">
        <v>15.2</v>
      </c>
      <c r="L300">
        <v>3.7</v>
      </c>
      <c r="M300">
        <v>53.1</v>
      </c>
      <c r="N300">
        <v>8827</v>
      </c>
      <c r="O300">
        <v>1001</v>
      </c>
      <c r="P300">
        <v>53.1</v>
      </c>
      <c r="Q300">
        <v>355</v>
      </c>
      <c r="R300">
        <v>383</v>
      </c>
      <c r="S300">
        <v>405.09915014164312</v>
      </c>
      <c r="T300" t="s">
        <v>58</v>
      </c>
      <c r="U300">
        <v>28787</v>
      </c>
      <c r="V300">
        <v>8</v>
      </c>
      <c r="W300">
        <v>7</v>
      </c>
      <c r="X300">
        <v>2.4710000000000001</v>
      </c>
      <c r="Y300">
        <v>14.1</v>
      </c>
      <c r="Z300" t="s">
        <v>620</v>
      </c>
      <c r="AA300">
        <v>62</v>
      </c>
      <c r="AB300">
        <v>38</v>
      </c>
      <c r="AC300" t="s">
        <v>53</v>
      </c>
      <c r="AD300">
        <v>17486</v>
      </c>
      <c r="AE300">
        <v>12677</v>
      </c>
      <c r="AF300">
        <v>616.32000000000005</v>
      </c>
      <c r="AG300">
        <v>35</v>
      </c>
      <c r="AH300">
        <v>12</v>
      </c>
      <c r="AI300">
        <v>56.538228571428569</v>
      </c>
      <c r="AJ300">
        <v>21.88</v>
      </c>
      <c r="AK300">
        <v>70.61</v>
      </c>
      <c r="AL300">
        <v>14.17</v>
      </c>
      <c r="AM300">
        <v>511</v>
      </c>
      <c r="AN300">
        <v>63.62</v>
      </c>
      <c r="AO300">
        <v>185.06</v>
      </c>
      <c r="AP300">
        <v>14.1</v>
      </c>
      <c r="AQ300">
        <v>8</v>
      </c>
      <c r="AR300">
        <v>22.8</v>
      </c>
    </row>
    <row r="301" spans="1:44" x14ac:dyDescent="0.3">
      <c r="A301">
        <v>300</v>
      </c>
      <c r="B301" t="s">
        <v>1052</v>
      </c>
      <c r="C301">
        <v>2024</v>
      </c>
      <c r="D301">
        <f>514</f>
        <v>514</v>
      </c>
      <c r="E301">
        <v>3</v>
      </c>
      <c r="F301" t="s">
        <v>1053</v>
      </c>
      <c r="G301" t="s">
        <v>811</v>
      </c>
      <c r="H301" t="s">
        <v>100</v>
      </c>
      <c r="I301" t="s">
        <v>811</v>
      </c>
      <c r="J301" t="s">
        <v>50</v>
      </c>
      <c r="K301">
        <v>23</v>
      </c>
      <c r="L301">
        <v>58.4</v>
      </c>
      <c r="M301">
        <v>14.3</v>
      </c>
      <c r="N301">
        <v>1664</v>
      </c>
      <c r="O301">
        <v>16479</v>
      </c>
      <c r="P301">
        <v>14.3</v>
      </c>
      <c r="Q301">
        <v>139</v>
      </c>
      <c r="R301">
        <v>41.1</v>
      </c>
      <c r="S301">
        <v>2.91</v>
      </c>
      <c r="T301" t="s">
        <v>71</v>
      </c>
      <c r="U301">
        <v>12877</v>
      </c>
      <c r="V301">
        <v>2</v>
      </c>
      <c r="W301">
        <v>5</v>
      </c>
      <c r="X301">
        <v>571</v>
      </c>
      <c r="Y301">
        <v>23.5</v>
      </c>
      <c r="Z301" t="s">
        <v>408</v>
      </c>
      <c r="AA301">
        <v>46</v>
      </c>
      <c r="AB301">
        <v>54</v>
      </c>
      <c r="AC301" t="s">
        <v>53</v>
      </c>
      <c r="AD301">
        <v>8012</v>
      </c>
      <c r="AE301">
        <v>3986</v>
      </c>
      <c r="AF301">
        <v>1633.16</v>
      </c>
      <c r="AG301">
        <v>10</v>
      </c>
      <c r="AH301">
        <v>382</v>
      </c>
      <c r="AI301">
        <v>34.574950000000001</v>
      </c>
      <c r="AJ301">
        <v>24.91</v>
      </c>
      <c r="AK301">
        <v>23.94</v>
      </c>
      <c r="AL301">
        <v>9.43</v>
      </c>
      <c r="AM301">
        <v>514</v>
      </c>
      <c r="AN301">
        <v>63.4</v>
      </c>
      <c r="AO301">
        <v>25.02</v>
      </c>
      <c r="AP301">
        <v>23.5</v>
      </c>
      <c r="AQ301">
        <v>2</v>
      </c>
      <c r="AR301">
        <v>22.7</v>
      </c>
    </row>
    <row r="302" spans="1:44" x14ac:dyDescent="0.3">
      <c r="A302">
        <v>301</v>
      </c>
      <c r="B302" t="s">
        <v>1054</v>
      </c>
      <c r="C302">
        <v>2024</v>
      </c>
      <c r="D302">
        <f>514</f>
        <v>514</v>
      </c>
      <c r="E302">
        <v>1</v>
      </c>
      <c r="F302" t="s">
        <v>1053</v>
      </c>
      <c r="G302" t="s">
        <v>1055</v>
      </c>
      <c r="H302" t="s">
        <v>100</v>
      </c>
      <c r="I302" t="s">
        <v>1056</v>
      </c>
      <c r="J302" t="s">
        <v>1057</v>
      </c>
      <c r="K302">
        <v>10.7</v>
      </c>
      <c r="L302">
        <v>26.3</v>
      </c>
      <c r="M302">
        <v>33.6</v>
      </c>
      <c r="N302">
        <v>4270</v>
      </c>
      <c r="O302">
        <v>52164</v>
      </c>
      <c r="P302">
        <v>33.6</v>
      </c>
      <c r="Q302">
        <v>224</v>
      </c>
      <c r="R302">
        <v>44.8</v>
      </c>
      <c r="S302">
        <v>3.26</v>
      </c>
      <c r="T302" t="s">
        <v>51</v>
      </c>
      <c r="U302">
        <v>23951</v>
      </c>
      <c r="V302">
        <v>0</v>
      </c>
      <c r="W302">
        <v>1</v>
      </c>
      <c r="X302">
        <v>1310</v>
      </c>
      <c r="Y302">
        <v>24.3</v>
      </c>
      <c r="Z302" t="s">
        <v>457</v>
      </c>
      <c r="AA302">
        <v>61</v>
      </c>
      <c r="AB302">
        <v>39</v>
      </c>
      <c r="AC302" t="s">
        <v>53</v>
      </c>
      <c r="AD302">
        <v>15261</v>
      </c>
      <c r="AE302">
        <v>8313</v>
      </c>
      <c r="AF302">
        <v>1091.56</v>
      </c>
      <c r="AG302">
        <v>3</v>
      </c>
      <c r="AH302">
        <v>629</v>
      </c>
      <c r="AI302">
        <v>33.960999999999999</v>
      </c>
      <c r="AJ302">
        <v>16.54</v>
      </c>
      <c r="AK302">
        <v>18.73</v>
      </c>
      <c r="AL302">
        <v>12.02</v>
      </c>
      <c r="AM302">
        <v>514</v>
      </c>
      <c r="AN302">
        <v>63.4</v>
      </c>
      <c r="AO302">
        <v>38.08</v>
      </c>
      <c r="AP302">
        <v>24.3</v>
      </c>
      <c r="AQ302">
        <v>0</v>
      </c>
      <c r="AR302">
        <v>22.7</v>
      </c>
    </row>
    <row r="303" spans="1:44" x14ac:dyDescent="0.3">
      <c r="A303">
        <v>302</v>
      </c>
      <c r="B303" t="s">
        <v>1058</v>
      </c>
      <c r="C303">
        <v>2024</v>
      </c>
      <c r="D303">
        <f>514</f>
        <v>514</v>
      </c>
      <c r="E303">
        <v>40</v>
      </c>
      <c r="F303" t="s">
        <v>1053</v>
      </c>
      <c r="G303" t="s">
        <v>99</v>
      </c>
      <c r="H303" t="s">
        <v>100</v>
      </c>
      <c r="I303" t="s">
        <v>189</v>
      </c>
      <c r="J303" t="s">
        <v>50</v>
      </c>
      <c r="K303">
        <v>22.2</v>
      </c>
      <c r="L303">
        <v>9</v>
      </c>
      <c r="M303">
        <v>25.4</v>
      </c>
      <c r="N303">
        <v>9633</v>
      </c>
      <c r="O303">
        <v>673</v>
      </c>
      <c r="P303">
        <v>25.4</v>
      </c>
      <c r="Q303">
        <v>261</v>
      </c>
      <c r="R303">
        <v>357</v>
      </c>
      <c r="S303">
        <v>161.93455245428299</v>
      </c>
      <c r="T303" t="s">
        <v>51</v>
      </c>
      <c r="U303">
        <v>38015</v>
      </c>
      <c r="V303">
        <v>6</v>
      </c>
      <c r="W303">
        <v>6</v>
      </c>
      <c r="X303">
        <v>4.1559999999999997</v>
      </c>
      <c r="Y303">
        <v>13</v>
      </c>
      <c r="Z303" t="s">
        <v>66</v>
      </c>
      <c r="AA303">
        <v>50</v>
      </c>
      <c r="AB303">
        <v>50</v>
      </c>
      <c r="AC303" t="s">
        <v>53</v>
      </c>
      <c r="AD303">
        <v>30413</v>
      </c>
      <c r="AE303">
        <v>9177</v>
      </c>
      <c r="AF303">
        <v>616.32000000000005</v>
      </c>
      <c r="AG303">
        <v>35</v>
      </c>
      <c r="AH303">
        <v>12</v>
      </c>
      <c r="AI303">
        <v>56.538228571428569</v>
      </c>
      <c r="AJ303">
        <v>21.88</v>
      </c>
      <c r="AK303">
        <v>70.61</v>
      </c>
      <c r="AL303">
        <v>14.17</v>
      </c>
      <c r="AM303">
        <v>514</v>
      </c>
      <c r="AN303">
        <v>63.4</v>
      </c>
      <c r="AO303">
        <v>158.04</v>
      </c>
      <c r="AP303">
        <v>13</v>
      </c>
      <c r="AQ303">
        <v>6</v>
      </c>
      <c r="AR303">
        <v>22.7</v>
      </c>
    </row>
    <row r="304" spans="1:44" x14ac:dyDescent="0.3">
      <c r="A304">
        <v>303</v>
      </c>
      <c r="B304" t="s">
        <v>1059</v>
      </c>
      <c r="C304">
        <v>2024</v>
      </c>
      <c r="D304">
        <f>520</f>
        <v>520</v>
      </c>
      <c r="E304">
        <v>11</v>
      </c>
      <c r="F304" t="s">
        <v>1060</v>
      </c>
      <c r="G304" t="s">
        <v>161</v>
      </c>
      <c r="H304" t="s">
        <v>100</v>
      </c>
      <c r="I304" t="s">
        <v>1061</v>
      </c>
      <c r="J304" t="s">
        <v>50</v>
      </c>
      <c r="K304">
        <v>11.1</v>
      </c>
      <c r="L304">
        <v>18</v>
      </c>
      <c r="M304">
        <v>17.2</v>
      </c>
      <c r="N304">
        <v>4400</v>
      </c>
      <c r="O304">
        <v>363</v>
      </c>
      <c r="P304">
        <v>17.2</v>
      </c>
      <c r="Q304">
        <v>207</v>
      </c>
      <c r="R304">
        <v>280</v>
      </c>
      <c r="S304">
        <v>133.89893028402801</v>
      </c>
      <c r="T304" t="s">
        <v>96</v>
      </c>
      <c r="U304">
        <v>18432</v>
      </c>
      <c r="V304">
        <v>14</v>
      </c>
      <c r="W304">
        <v>17</v>
      </c>
      <c r="X304">
        <v>2.7109999999999999</v>
      </c>
      <c r="Y304">
        <v>20.100000000000001</v>
      </c>
      <c r="Z304" t="s">
        <v>408</v>
      </c>
      <c r="AA304">
        <v>47</v>
      </c>
      <c r="AB304">
        <v>53</v>
      </c>
      <c r="AC304" t="s">
        <v>53</v>
      </c>
      <c r="AD304">
        <v>9532</v>
      </c>
      <c r="AE304">
        <v>7630</v>
      </c>
      <c r="AF304">
        <v>682.03</v>
      </c>
      <c r="AG304">
        <v>18</v>
      </c>
      <c r="AH304">
        <v>62</v>
      </c>
      <c r="AI304">
        <v>43.175027777777778</v>
      </c>
      <c r="AJ304">
        <v>22.69</v>
      </c>
      <c r="AK304">
        <v>33</v>
      </c>
      <c r="AL304">
        <v>15.2</v>
      </c>
      <c r="AM304">
        <v>520</v>
      </c>
      <c r="AN304">
        <v>62.97</v>
      </c>
      <c r="AO304">
        <v>122.32</v>
      </c>
      <c r="AP304">
        <v>20.100000000000001</v>
      </c>
      <c r="AQ304">
        <v>14</v>
      </c>
      <c r="AR304">
        <v>22.6</v>
      </c>
    </row>
    <row r="305" spans="1:44" x14ac:dyDescent="0.3">
      <c r="A305">
        <v>304</v>
      </c>
      <c r="B305" t="s">
        <v>1062</v>
      </c>
      <c r="C305">
        <v>2024</v>
      </c>
      <c r="D305">
        <f>523</f>
        <v>523</v>
      </c>
      <c r="E305">
        <v>38</v>
      </c>
      <c r="F305" t="s">
        <v>1063</v>
      </c>
      <c r="G305" t="s">
        <v>47</v>
      </c>
      <c r="H305" t="s">
        <v>48</v>
      </c>
      <c r="I305" t="s">
        <v>1064</v>
      </c>
      <c r="J305" t="s">
        <v>50</v>
      </c>
      <c r="K305">
        <v>8.5</v>
      </c>
      <c r="L305">
        <v>3.5</v>
      </c>
      <c r="M305">
        <v>25.4</v>
      </c>
      <c r="N305">
        <v>2751</v>
      </c>
      <c r="O305">
        <v>898</v>
      </c>
      <c r="P305">
        <v>25.4</v>
      </c>
      <c r="Q305">
        <v>222</v>
      </c>
      <c r="R305">
        <v>754</v>
      </c>
      <c r="S305">
        <v>0.90160642570281124</v>
      </c>
      <c r="T305" t="s">
        <v>77</v>
      </c>
      <c r="U305">
        <v>12305</v>
      </c>
      <c r="V305">
        <v>21</v>
      </c>
      <c r="W305">
        <v>35</v>
      </c>
      <c r="X305">
        <v>996</v>
      </c>
      <c r="Y305">
        <v>18</v>
      </c>
      <c r="Z305" t="s">
        <v>116</v>
      </c>
      <c r="AA305">
        <v>55</v>
      </c>
      <c r="AB305">
        <v>45</v>
      </c>
      <c r="AC305" t="s">
        <v>53</v>
      </c>
      <c r="AD305">
        <v>8395</v>
      </c>
      <c r="AE305">
        <v>4855</v>
      </c>
      <c r="AF305">
        <v>614.48</v>
      </c>
      <c r="AG305">
        <v>69</v>
      </c>
      <c r="AH305">
        <v>1</v>
      </c>
      <c r="AI305">
        <v>50.817340579710141</v>
      </c>
      <c r="AJ305">
        <v>35.82</v>
      </c>
      <c r="AK305">
        <v>38.92</v>
      </c>
      <c r="AL305">
        <v>35.29</v>
      </c>
      <c r="AM305">
        <v>523</v>
      </c>
      <c r="AN305">
        <v>62.76</v>
      </c>
      <c r="AO305">
        <v>316.83999999999997</v>
      </c>
      <c r="AP305">
        <v>18</v>
      </c>
      <c r="AQ305">
        <v>21</v>
      </c>
      <c r="AR305">
        <v>22.5</v>
      </c>
    </row>
    <row r="306" spans="1:44" x14ac:dyDescent="0.3">
      <c r="A306">
        <v>305</v>
      </c>
      <c r="B306" t="s">
        <v>1065</v>
      </c>
      <c r="C306">
        <v>2024</v>
      </c>
      <c r="D306">
        <f>530</f>
        <v>530</v>
      </c>
      <c r="E306">
        <v>2</v>
      </c>
      <c r="F306" t="s">
        <v>1066</v>
      </c>
      <c r="G306" t="s">
        <v>834</v>
      </c>
      <c r="H306" t="s">
        <v>48</v>
      </c>
      <c r="I306" t="s">
        <v>1067</v>
      </c>
      <c r="J306" t="s">
        <v>50</v>
      </c>
      <c r="K306">
        <v>28.7</v>
      </c>
      <c r="L306">
        <v>25.9</v>
      </c>
      <c r="M306">
        <v>13.5</v>
      </c>
      <c r="N306">
        <v>10721</v>
      </c>
      <c r="O306">
        <v>240</v>
      </c>
      <c r="P306">
        <v>13.5</v>
      </c>
      <c r="Q306">
        <v>288</v>
      </c>
      <c r="R306">
        <v>285</v>
      </c>
      <c r="S306">
        <v>138.16925734024181</v>
      </c>
      <c r="T306" t="s">
        <v>58</v>
      </c>
      <c r="U306">
        <v>49654</v>
      </c>
      <c r="V306">
        <v>5</v>
      </c>
      <c r="W306">
        <v>5</v>
      </c>
      <c r="X306">
        <v>1.7370000000000001</v>
      </c>
      <c r="Y306">
        <v>18.2</v>
      </c>
      <c r="Z306" t="s">
        <v>110</v>
      </c>
      <c r="AA306">
        <v>58</v>
      </c>
      <c r="AB306">
        <v>42</v>
      </c>
      <c r="AC306" t="s">
        <v>53</v>
      </c>
      <c r="AD306">
        <v>32493</v>
      </c>
      <c r="AE306">
        <v>15352</v>
      </c>
      <c r="AF306">
        <v>1152.18</v>
      </c>
      <c r="AG306">
        <v>8</v>
      </c>
      <c r="AH306">
        <v>521</v>
      </c>
      <c r="AI306">
        <v>35.509249999999987</v>
      </c>
      <c r="AJ306">
        <v>26.59</v>
      </c>
      <c r="AK306">
        <v>34.58</v>
      </c>
      <c r="AL306">
        <v>5.27</v>
      </c>
      <c r="AM306">
        <v>530</v>
      </c>
      <c r="AN306">
        <v>62.26</v>
      </c>
      <c r="AO306">
        <v>122.1</v>
      </c>
      <c r="AP306">
        <v>18.2</v>
      </c>
      <c r="AQ306">
        <v>5</v>
      </c>
      <c r="AR306">
        <v>22.1</v>
      </c>
    </row>
    <row r="307" spans="1:44" x14ac:dyDescent="0.3">
      <c r="A307">
        <v>306</v>
      </c>
      <c r="B307" t="s">
        <v>1068</v>
      </c>
      <c r="C307">
        <v>2024</v>
      </c>
      <c r="D307">
        <f>530</f>
        <v>530</v>
      </c>
      <c r="E307">
        <v>11</v>
      </c>
      <c r="F307" t="s">
        <v>1066</v>
      </c>
      <c r="G307" t="s">
        <v>384</v>
      </c>
      <c r="H307" t="s">
        <v>48</v>
      </c>
      <c r="I307" t="s">
        <v>1069</v>
      </c>
      <c r="J307" t="s">
        <v>50</v>
      </c>
      <c r="K307">
        <v>17.399999999999999</v>
      </c>
      <c r="L307">
        <v>3.8</v>
      </c>
      <c r="M307">
        <v>40.6</v>
      </c>
      <c r="N307">
        <v>8697</v>
      </c>
      <c r="O307">
        <v>304</v>
      </c>
      <c r="P307">
        <v>40.6</v>
      </c>
      <c r="Q307">
        <v>314</v>
      </c>
      <c r="R307">
        <v>306</v>
      </c>
      <c r="S307">
        <v>227.54491017964071</v>
      </c>
      <c r="T307" t="s">
        <v>51</v>
      </c>
      <c r="U307">
        <v>21470</v>
      </c>
      <c r="V307">
        <v>7</v>
      </c>
      <c r="W307">
        <v>9</v>
      </c>
      <c r="X307">
        <v>1.3360000000000001</v>
      </c>
      <c r="Y307">
        <v>16.5</v>
      </c>
      <c r="Z307" t="s">
        <v>110</v>
      </c>
      <c r="AA307">
        <v>58</v>
      </c>
      <c r="AB307">
        <v>42</v>
      </c>
      <c r="AC307" t="s">
        <v>53</v>
      </c>
      <c r="AD307">
        <v>13288</v>
      </c>
      <c r="AE307">
        <v>6930</v>
      </c>
      <c r="AF307">
        <v>644.77</v>
      </c>
      <c r="AG307">
        <v>18</v>
      </c>
      <c r="AH307">
        <v>181</v>
      </c>
      <c r="AI307">
        <v>47.393000000000001</v>
      </c>
      <c r="AJ307">
        <v>35.17</v>
      </c>
      <c r="AK307">
        <v>47.49</v>
      </c>
      <c r="AL307">
        <v>13.04</v>
      </c>
      <c r="AM307">
        <v>530</v>
      </c>
      <c r="AN307">
        <v>62.26</v>
      </c>
      <c r="AO307">
        <v>146.76</v>
      </c>
      <c r="AP307">
        <v>16.5</v>
      </c>
      <c r="AQ307">
        <v>7</v>
      </c>
      <c r="AR307">
        <v>22.1</v>
      </c>
    </row>
    <row r="308" spans="1:44" x14ac:dyDescent="0.3">
      <c r="A308">
        <v>307</v>
      </c>
      <c r="B308" t="s">
        <v>1070</v>
      </c>
      <c r="C308">
        <v>2024</v>
      </c>
      <c r="D308">
        <f>534</f>
        <v>534</v>
      </c>
      <c r="E308">
        <v>3</v>
      </c>
      <c r="F308" t="s">
        <v>1071</v>
      </c>
      <c r="G308" t="s">
        <v>834</v>
      </c>
      <c r="H308" t="s">
        <v>48</v>
      </c>
      <c r="I308" t="s">
        <v>1072</v>
      </c>
      <c r="J308" t="s">
        <v>50</v>
      </c>
      <c r="K308">
        <v>15.1</v>
      </c>
      <c r="L308">
        <v>14.3</v>
      </c>
      <c r="M308">
        <v>67.900000000000006</v>
      </c>
      <c r="N308">
        <v>3045</v>
      </c>
      <c r="O308">
        <v>541</v>
      </c>
      <c r="P308">
        <v>67.900000000000006</v>
      </c>
      <c r="Q308">
        <v>258</v>
      </c>
      <c r="R308">
        <v>698</v>
      </c>
      <c r="S308">
        <v>1.237986270022883</v>
      </c>
      <c r="T308" t="s">
        <v>51</v>
      </c>
      <c r="U308">
        <v>14119</v>
      </c>
      <c r="V308">
        <v>4</v>
      </c>
      <c r="W308">
        <v>5</v>
      </c>
      <c r="X308">
        <v>437</v>
      </c>
      <c r="Y308">
        <v>26.5</v>
      </c>
      <c r="Z308" t="s">
        <v>521</v>
      </c>
      <c r="AA308">
        <v>64</v>
      </c>
      <c r="AB308">
        <v>36</v>
      </c>
      <c r="AC308" t="s">
        <v>53</v>
      </c>
      <c r="AD308">
        <v>8519</v>
      </c>
      <c r="AE308">
        <v>4032</v>
      </c>
      <c r="AF308">
        <v>1152.18</v>
      </c>
      <c r="AG308">
        <v>8</v>
      </c>
      <c r="AH308">
        <v>521</v>
      </c>
      <c r="AI308">
        <v>35.509249999999987</v>
      </c>
      <c r="AJ308">
        <v>26.59</v>
      </c>
      <c r="AK308">
        <v>34.58</v>
      </c>
      <c r="AL308">
        <v>5.27</v>
      </c>
      <c r="AM308">
        <v>534</v>
      </c>
      <c r="AN308">
        <v>61.97</v>
      </c>
      <c r="AO308">
        <v>319.94</v>
      </c>
      <c r="AP308">
        <v>26.5</v>
      </c>
      <c r="AQ308">
        <v>4</v>
      </c>
      <c r="AR308">
        <v>22</v>
      </c>
    </row>
    <row r="309" spans="1:44" x14ac:dyDescent="0.3">
      <c r="A309">
        <v>308</v>
      </c>
      <c r="B309" t="s">
        <v>1073</v>
      </c>
      <c r="C309">
        <v>2024</v>
      </c>
      <c r="D309">
        <f>534</f>
        <v>534</v>
      </c>
      <c r="E309">
        <v>16</v>
      </c>
      <c r="F309" t="s">
        <v>1071</v>
      </c>
      <c r="G309" t="s">
        <v>481</v>
      </c>
      <c r="H309" t="s">
        <v>48</v>
      </c>
      <c r="I309" t="s">
        <v>1074</v>
      </c>
      <c r="J309" t="s">
        <v>50</v>
      </c>
      <c r="K309">
        <v>26.8</v>
      </c>
      <c r="L309">
        <v>15</v>
      </c>
      <c r="M309">
        <v>6.9</v>
      </c>
      <c r="N309">
        <v>10532</v>
      </c>
      <c r="O309">
        <v>460</v>
      </c>
      <c r="P309">
        <v>6.9</v>
      </c>
      <c r="Q309">
        <v>122</v>
      </c>
      <c r="R309">
        <v>621</v>
      </c>
      <c r="S309">
        <v>226.15535889872169</v>
      </c>
      <c r="T309" t="s">
        <v>58</v>
      </c>
      <c r="U309">
        <v>24707</v>
      </c>
      <c r="V309">
        <v>13</v>
      </c>
      <c r="W309">
        <v>16</v>
      </c>
      <c r="X309">
        <v>2.0339999999999998</v>
      </c>
      <c r="Y309">
        <v>14.7</v>
      </c>
      <c r="Z309" t="s">
        <v>138</v>
      </c>
      <c r="AA309">
        <v>61</v>
      </c>
      <c r="AB309">
        <v>39</v>
      </c>
      <c r="AC309" t="s">
        <v>53</v>
      </c>
      <c r="AD309">
        <v>18050</v>
      </c>
      <c r="AE309">
        <v>7699</v>
      </c>
      <c r="AF309">
        <v>906.25</v>
      </c>
      <c r="AG309">
        <v>9</v>
      </c>
      <c r="AH309">
        <v>313</v>
      </c>
      <c r="AI309">
        <v>39.444055555555551</v>
      </c>
      <c r="AJ309">
        <v>32.270000000000003</v>
      </c>
      <c r="AK309">
        <v>29.18</v>
      </c>
      <c r="AL309">
        <v>17.100000000000001</v>
      </c>
      <c r="AM309">
        <v>534</v>
      </c>
      <c r="AN309">
        <v>61.97</v>
      </c>
      <c r="AO309">
        <v>252.54</v>
      </c>
      <c r="AP309">
        <v>14.7</v>
      </c>
      <c r="AQ309">
        <v>13</v>
      </c>
      <c r="AR309">
        <v>22</v>
      </c>
    </row>
    <row r="310" spans="1:44" x14ac:dyDescent="0.3">
      <c r="A310">
        <v>309</v>
      </c>
      <c r="B310" t="s">
        <v>1075</v>
      </c>
      <c r="C310">
        <v>2024</v>
      </c>
      <c r="D310">
        <f>542</f>
        <v>542</v>
      </c>
      <c r="E310">
        <v>17</v>
      </c>
      <c r="F310" t="s">
        <v>1076</v>
      </c>
      <c r="G310" t="s">
        <v>286</v>
      </c>
      <c r="H310" t="s">
        <v>48</v>
      </c>
      <c r="I310" t="s">
        <v>1077</v>
      </c>
      <c r="J310" t="s">
        <v>50</v>
      </c>
      <c r="K310">
        <v>12</v>
      </c>
      <c r="L310">
        <v>11.6</v>
      </c>
      <c r="M310">
        <v>6.9</v>
      </c>
      <c r="N310">
        <v>2142</v>
      </c>
      <c r="O310">
        <v>8379</v>
      </c>
      <c r="P310">
        <v>6.9</v>
      </c>
      <c r="Q310">
        <v>102</v>
      </c>
      <c r="R310">
        <v>11.8</v>
      </c>
      <c r="S310">
        <v>2.75</v>
      </c>
      <c r="T310" t="s">
        <v>96</v>
      </c>
      <c r="U310">
        <v>10902</v>
      </c>
      <c r="V310">
        <v>18</v>
      </c>
      <c r="W310">
        <v>17</v>
      </c>
      <c r="X310">
        <v>1.849</v>
      </c>
      <c r="Y310">
        <v>14.6</v>
      </c>
      <c r="Z310" t="s">
        <v>306</v>
      </c>
      <c r="AA310">
        <v>32</v>
      </c>
      <c r="AB310">
        <v>68</v>
      </c>
      <c r="AC310" t="s">
        <v>53</v>
      </c>
      <c r="AD310">
        <v>10029</v>
      </c>
      <c r="AE310">
        <v>4323</v>
      </c>
      <c r="AF310">
        <v>1470.93</v>
      </c>
      <c r="AG310">
        <v>24</v>
      </c>
      <c r="AH310">
        <v>95</v>
      </c>
      <c r="AI310">
        <v>29.87127083333333</v>
      </c>
      <c r="AJ310">
        <v>18.23</v>
      </c>
      <c r="AK310">
        <v>14.05</v>
      </c>
      <c r="AL310">
        <v>16.72</v>
      </c>
      <c r="AM310">
        <v>542</v>
      </c>
      <c r="AN310">
        <v>61.4</v>
      </c>
      <c r="AO310">
        <v>8.86</v>
      </c>
      <c r="AP310">
        <v>14.6</v>
      </c>
      <c r="AQ310">
        <v>18</v>
      </c>
      <c r="AR310">
        <v>21.7</v>
      </c>
    </row>
    <row r="311" spans="1:44" x14ac:dyDescent="0.3">
      <c r="A311">
        <v>310</v>
      </c>
      <c r="B311" t="s">
        <v>1078</v>
      </c>
      <c r="C311">
        <v>2024</v>
      </c>
      <c r="D311">
        <f>545</f>
        <v>545</v>
      </c>
      <c r="E311">
        <v>6</v>
      </c>
      <c r="F311" t="s">
        <v>1079</v>
      </c>
      <c r="G311" t="s">
        <v>568</v>
      </c>
      <c r="H311" t="s">
        <v>100</v>
      </c>
      <c r="I311" t="s">
        <v>1080</v>
      </c>
      <c r="J311" t="s">
        <v>50</v>
      </c>
      <c r="K311">
        <v>8</v>
      </c>
      <c r="L311">
        <v>5.3</v>
      </c>
      <c r="M311">
        <v>62.2</v>
      </c>
      <c r="N311">
        <v>3465</v>
      </c>
      <c r="O311">
        <v>673</v>
      </c>
      <c r="P311">
        <v>62.2</v>
      </c>
      <c r="Q311">
        <v>292</v>
      </c>
      <c r="R311">
        <v>512</v>
      </c>
      <c r="S311">
        <v>0.72914409534127844</v>
      </c>
      <c r="T311" t="s">
        <v>77</v>
      </c>
      <c r="U311">
        <v>19599</v>
      </c>
      <c r="V311">
        <v>4</v>
      </c>
      <c r="W311">
        <v>4</v>
      </c>
      <c r="X311">
        <v>923</v>
      </c>
      <c r="Y311">
        <v>19</v>
      </c>
      <c r="Z311" t="s">
        <v>138</v>
      </c>
      <c r="AA311">
        <v>58</v>
      </c>
      <c r="AB311">
        <v>42</v>
      </c>
      <c r="AC311" t="s">
        <v>53</v>
      </c>
      <c r="AD311">
        <v>13906</v>
      </c>
      <c r="AE311">
        <v>5981</v>
      </c>
      <c r="AF311">
        <v>610.79999999999995</v>
      </c>
      <c r="AG311">
        <v>3</v>
      </c>
      <c r="AH311">
        <v>209</v>
      </c>
      <c r="AI311">
        <v>47.237666666666662</v>
      </c>
      <c r="AJ311">
        <v>30</v>
      </c>
      <c r="AK311">
        <v>49.3</v>
      </c>
      <c r="AL311">
        <v>10.72</v>
      </c>
      <c r="AM311">
        <v>545</v>
      </c>
      <c r="AN311">
        <v>61.19</v>
      </c>
      <c r="AO311">
        <v>242.12</v>
      </c>
      <c r="AP311">
        <v>19</v>
      </c>
      <c r="AQ311">
        <v>4</v>
      </c>
      <c r="AR311">
        <v>21.5</v>
      </c>
    </row>
    <row r="312" spans="1:44" x14ac:dyDescent="0.3">
      <c r="A312">
        <v>311</v>
      </c>
      <c r="B312" t="s">
        <v>1081</v>
      </c>
      <c r="C312">
        <v>2024</v>
      </c>
      <c r="D312">
        <f>548</f>
        <v>548</v>
      </c>
      <c r="E312">
        <v>139</v>
      </c>
      <c r="F312" t="s">
        <v>1082</v>
      </c>
      <c r="G312" t="s">
        <v>63</v>
      </c>
      <c r="H312" t="s">
        <v>64</v>
      </c>
      <c r="I312" t="s">
        <v>1083</v>
      </c>
      <c r="J312" t="s">
        <v>65</v>
      </c>
      <c r="K312">
        <v>5.8</v>
      </c>
      <c r="L312">
        <v>4.2</v>
      </c>
      <c r="M312">
        <v>38.4</v>
      </c>
      <c r="N312">
        <v>1724</v>
      </c>
      <c r="O312">
        <v>405</v>
      </c>
      <c r="P312">
        <v>38.4</v>
      </c>
      <c r="Q312">
        <v>143</v>
      </c>
      <c r="R312">
        <v>891</v>
      </c>
      <c r="S312">
        <v>0.75</v>
      </c>
      <c r="T312" t="s">
        <v>77</v>
      </c>
      <c r="U312">
        <v>6518</v>
      </c>
      <c r="V312">
        <v>17</v>
      </c>
      <c r="W312">
        <v>16</v>
      </c>
      <c r="X312">
        <v>540</v>
      </c>
      <c r="Y312">
        <v>11.2</v>
      </c>
      <c r="Z312" t="s">
        <v>102</v>
      </c>
      <c r="AA312">
        <v>46</v>
      </c>
      <c r="AB312">
        <v>54</v>
      </c>
      <c r="AC312" t="s">
        <v>53</v>
      </c>
      <c r="AD312">
        <v>4557</v>
      </c>
      <c r="AE312">
        <v>2376</v>
      </c>
      <c r="AF312">
        <v>647.61</v>
      </c>
      <c r="AG312">
        <v>98</v>
      </c>
      <c r="AH312">
        <v>2</v>
      </c>
      <c r="AI312">
        <v>56.843244897959181</v>
      </c>
      <c r="AJ312">
        <v>29.74</v>
      </c>
      <c r="AK312">
        <v>38.11</v>
      </c>
      <c r="AL312">
        <v>19.260000000000002</v>
      </c>
      <c r="AM312">
        <v>548</v>
      </c>
      <c r="AN312">
        <v>60.97</v>
      </c>
      <c r="AO312">
        <v>379.44</v>
      </c>
      <c r="AP312">
        <v>11.2</v>
      </c>
      <c r="AQ312">
        <v>17</v>
      </c>
      <c r="AR312">
        <v>21.4</v>
      </c>
    </row>
    <row r="313" spans="1:44" x14ac:dyDescent="0.3">
      <c r="A313">
        <v>312</v>
      </c>
      <c r="B313" t="s">
        <v>1084</v>
      </c>
      <c r="C313">
        <v>2024</v>
      </c>
      <c r="D313">
        <f>548</f>
        <v>548</v>
      </c>
      <c r="E313">
        <v>5</v>
      </c>
      <c r="F313" t="s">
        <v>1082</v>
      </c>
      <c r="G313" t="s">
        <v>330</v>
      </c>
      <c r="H313" t="s">
        <v>48</v>
      </c>
      <c r="I313" t="s">
        <v>1085</v>
      </c>
      <c r="J313" t="s">
        <v>50</v>
      </c>
      <c r="K313">
        <v>14.8</v>
      </c>
      <c r="L313">
        <v>9.6999999999999993</v>
      </c>
      <c r="M313">
        <v>24.6</v>
      </c>
      <c r="N313">
        <v>2956</v>
      </c>
      <c r="O313">
        <v>541</v>
      </c>
      <c r="P313">
        <v>24.6</v>
      </c>
      <c r="Q313">
        <v>109</v>
      </c>
      <c r="R313">
        <v>440</v>
      </c>
      <c r="S313">
        <v>448.21872410936197</v>
      </c>
      <c r="T313" t="s">
        <v>77</v>
      </c>
      <c r="U313">
        <v>12237</v>
      </c>
      <c r="V313">
        <v>5</v>
      </c>
      <c r="W313">
        <v>7</v>
      </c>
      <c r="X313">
        <v>1.2070000000000001</v>
      </c>
      <c r="Y313">
        <v>18.5</v>
      </c>
      <c r="Z313" t="s">
        <v>358</v>
      </c>
      <c r="AA313">
        <v>68</v>
      </c>
      <c r="AB313">
        <v>32</v>
      </c>
      <c r="AC313" t="s">
        <v>53</v>
      </c>
      <c r="AD313">
        <v>8506</v>
      </c>
      <c r="AE313">
        <v>4343</v>
      </c>
      <c r="AF313">
        <v>384.82</v>
      </c>
      <c r="AG313">
        <v>8</v>
      </c>
      <c r="AH313">
        <v>121</v>
      </c>
      <c r="AI313">
        <v>53.541874999999997</v>
      </c>
      <c r="AJ313">
        <v>36.49</v>
      </c>
      <c r="AK313">
        <v>55.81</v>
      </c>
      <c r="AL313">
        <v>13.23</v>
      </c>
      <c r="AM313">
        <v>548</v>
      </c>
      <c r="AN313">
        <v>60.97</v>
      </c>
      <c r="AO313">
        <v>190.76</v>
      </c>
      <c r="AP313">
        <v>18.5</v>
      </c>
      <c r="AQ313">
        <v>5</v>
      </c>
      <c r="AR313">
        <v>21.4</v>
      </c>
    </row>
    <row r="314" spans="1:44" x14ac:dyDescent="0.3">
      <c r="A314">
        <v>313</v>
      </c>
      <c r="B314" t="s">
        <v>1086</v>
      </c>
      <c r="C314">
        <v>2024</v>
      </c>
      <c r="D314">
        <f>556</f>
        <v>556</v>
      </c>
      <c r="E314">
        <v>146</v>
      </c>
      <c r="F314" t="s">
        <v>1087</v>
      </c>
      <c r="G314" t="s">
        <v>63</v>
      </c>
      <c r="H314" t="s">
        <v>64</v>
      </c>
      <c r="I314" t="s">
        <v>699</v>
      </c>
      <c r="J314" t="s">
        <v>50</v>
      </c>
      <c r="K314">
        <v>14.9</v>
      </c>
      <c r="L314">
        <v>35.4</v>
      </c>
      <c r="M314">
        <v>12.8</v>
      </c>
      <c r="N314">
        <v>9221</v>
      </c>
      <c r="O314">
        <v>541</v>
      </c>
      <c r="P314">
        <v>12.8</v>
      </c>
      <c r="Q314">
        <v>161</v>
      </c>
      <c r="R314">
        <v>538</v>
      </c>
      <c r="S314">
        <v>243.5839711841513</v>
      </c>
      <c r="T314" t="s">
        <v>96</v>
      </c>
      <c r="U314">
        <v>35006</v>
      </c>
      <c r="V314">
        <v>9</v>
      </c>
      <c r="W314">
        <v>9</v>
      </c>
      <c r="X314">
        <v>2.2210000000000001</v>
      </c>
      <c r="Y314">
        <v>22.4</v>
      </c>
      <c r="Z314" t="s">
        <v>202</v>
      </c>
      <c r="AA314">
        <v>56</v>
      </c>
      <c r="AB314">
        <v>44</v>
      </c>
      <c r="AC314" t="s">
        <v>53</v>
      </c>
      <c r="AD314">
        <v>23177</v>
      </c>
      <c r="AE314">
        <v>12332</v>
      </c>
      <c r="AF314">
        <v>647.61</v>
      </c>
      <c r="AG314">
        <v>98</v>
      </c>
      <c r="AH314">
        <v>2</v>
      </c>
      <c r="AI314">
        <v>56.843244897959181</v>
      </c>
      <c r="AJ314">
        <v>29.74</v>
      </c>
      <c r="AK314">
        <v>38.11</v>
      </c>
      <c r="AL314">
        <v>19.260000000000002</v>
      </c>
      <c r="AM314">
        <v>556</v>
      </c>
      <c r="AN314">
        <v>60.4</v>
      </c>
      <c r="AO314">
        <v>222.88</v>
      </c>
      <c r="AP314">
        <v>22.4</v>
      </c>
      <c r="AQ314">
        <v>9</v>
      </c>
      <c r="AR314">
        <v>21.1</v>
      </c>
    </row>
    <row r="315" spans="1:44" x14ac:dyDescent="0.3">
      <c r="A315">
        <v>314</v>
      </c>
      <c r="B315" t="s">
        <v>1088</v>
      </c>
      <c r="C315">
        <v>2024</v>
      </c>
      <c r="D315">
        <f>556</f>
        <v>556</v>
      </c>
      <c r="E315">
        <v>5</v>
      </c>
      <c r="F315" t="s">
        <v>1087</v>
      </c>
      <c r="G315" t="s">
        <v>642</v>
      </c>
      <c r="H315" t="s">
        <v>48</v>
      </c>
      <c r="I315" t="s">
        <v>643</v>
      </c>
      <c r="J315" t="s">
        <v>50</v>
      </c>
      <c r="K315">
        <v>6.1</v>
      </c>
      <c r="L315">
        <v>7.9</v>
      </c>
      <c r="M315">
        <v>12.9</v>
      </c>
      <c r="N315">
        <v>1591</v>
      </c>
      <c r="O315">
        <v>5708</v>
      </c>
      <c r="P315">
        <v>12.9</v>
      </c>
      <c r="Q315">
        <v>67</v>
      </c>
      <c r="R315">
        <v>13.7</v>
      </c>
      <c r="S315">
        <v>5.32</v>
      </c>
      <c r="T315" t="s">
        <v>51</v>
      </c>
      <c r="U315">
        <v>4061</v>
      </c>
      <c r="V315">
        <v>23</v>
      </c>
      <c r="W315">
        <v>29</v>
      </c>
      <c r="X315">
        <v>903</v>
      </c>
      <c r="Y315">
        <v>8.3000000000000007</v>
      </c>
      <c r="Z315" t="s">
        <v>457</v>
      </c>
      <c r="AA315">
        <v>57</v>
      </c>
      <c r="AB315">
        <v>43</v>
      </c>
      <c r="AC315" t="s">
        <v>53</v>
      </c>
      <c r="AD315">
        <v>3240</v>
      </c>
      <c r="AE315">
        <v>1265</v>
      </c>
      <c r="AF315">
        <v>1055.02</v>
      </c>
      <c r="AG315">
        <v>11</v>
      </c>
      <c r="AH315">
        <v>459</v>
      </c>
      <c r="AI315">
        <v>29.911909090909091</v>
      </c>
      <c r="AJ315">
        <v>21.19</v>
      </c>
      <c r="AK315">
        <v>18.600000000000001</v>
      </c>
      <c r="AL315">
        <v>18.350000000000001</v>
      </c>
      <c r="AM315">
        <v>556</v>
      </c>
      <c r="AN315">
        <v>60.4</v>
      </c>
      <c r="AO315">
        <v>13.22</v>
      </c>
      <c r="AP315">
        <v>8.3000000000000007</v>
      </c>
      <c r="AQ315">
        <v>23</v>
      </c>
      <c r="AR315">
        <v>21.1</v>
      </c>
    </row>
    <row r="316" spans="1:44" x14ac:dyDescent="0.3">
      <c r="A316">
        <v>315</v>
      </c>
      <c r="B316" t="s">
        <v>1089</v>
      </c>
      <c r="C316">
        <v>2024</v>
      </c>
      <c r="D316">
        <f>561</f>
        <v>561</v>
      </c>
      <c r="E316">
        <v>39</v>
      </c>
      <c r="F316" t="s">
        <v>1090</v>
      </c>
      <c r="G316" t="s">
        <v>99</v>
      </c>
      <c r="H316" t="s">
        <v>100</v>
      </c>
      <c r="I316" t="s">
        <v>1091</v>
      </c>
      <c r="J316" t="s">
        <v>50</v>
      </c>
      <c r="K316">
        <v>8.4</v>
      </c>
      <c r="L316">
        <v>3.8</v>
      </c>
      <c r="M316">
        <v>70.400000000000006</v>
      </c>
      <c r="N316">
        <v>12644</v>
      </c>
      <c r="O316">
        <v>898</v>
      </c>
      <c r="P316">
        <v>70.400000000000006</v>
      </c>
      <c r="Q316">
        <v>572</v>
      </c>
      <c r="R316">
        <v>302</v>
      </c>
      <c r="S316">
        <v>321.74847724829812</v>
      </c>
      <c r="T316" t="s">
        <v>58</v>
      </c>
      <c r="U316">
        <v>42607</v>
      </c>
      <c r="V316">
        <v>2</v>
      </c>
      <c r="W316">
        <v>3</v>
      </c>
      <c r="X316">
        <v>2.7909999999999999</v>
      </c>
      <c r="Y316">
        <v>20.100000000000001</v>
      </c>
      <c r="Z316" t="s">
        <v>87</v>
      </c>
      <c r="AA316">
        <v>54.166959730000002</v>
      </c>
      <c r="AB316">
        <v>45.833040269999998</v>
      </c>
      <c r="AC316" t="s">
        <v>53</v>
      </c>
      <c r="AD316">
        <v>27039</v>
      </c>
      <c r="AE316">
        <v>18570</v>
      </c>
      <c r="AF316">
        <v>616.32000000000005</v>
      </c>
      <c r="AG316">
        <v>35</v>
      </c>
      <c r="AH316">
        <v>12</v>
      </c>
      <c r="AI316">
        <v>56.538228571428569</v>
      </c>
      <c r="AJ316">
        <v>21.88</v>
      </c>
      <c r="AK316">
        <v>70.61</v>
      </c>
      <c r="AL316">
        <v>14.17</v>
      </c>
      <c r="AM316">
        <v>561</v>
      </c>
      <c r="AN316">
        <v>60.04</v>
      </c>
      <c r="AO316">
        <v>163.04</v>
      </c>
      <c r="AP316">
        <v>20.100000000000001</v>
      </c>
      <c r="AQ316">
        <v>2</v>
      </c>
      <c r="AR316">
        <v>21</v>
      </c>
    </row>
    <row r="317" spans="1:44" x14ac:dyDescent="0.3">
      <c r="A317">
        <v>316</v>
      </c>
      <c r="B317" t="s">
        <v>1092</v>
      </c>
      <c r="C317">
        <v>2024</v>
      </c>
      <c r="D317">
        <f>561</f>
        <v>561</v>
      </c>
      <c r="E317">
        <v>41</v>
      </c>
      <c r="F317" t="s">
        <v>1090</v>
      </c>
      <c r="G317" t="s">
        <v>47</v>
      </c>
      <c r="H317" t="s">
        <v>48</v>
      </c>
      <c r="I317" t="s">
        <v>1093</v>
      </c>
      <c r="J317" t="s">
        <v>50</v>
      </c>
      <c r="K317">
        <v>9</v>
      </c>
      <c r="L317">
        <v>12.1</v>
      </c>
      <c r="M317">
        <v>29.1</v>
      </c>
      <c r="N317">
        <v>5213</v>
      </c>
      <c r="O317">
        <v>363</v>
      </c>
      <c r="P317">
        <v>29.1</v>
      </c>
      <c r="Q317">
        <v>215</v>
      </c>
      <c r="R317">
        <v>695</v>
      </c>
      <c r="S317">
        <v>343.75</v>
      </c>
      <c r="T317" t="s">
        <v>71</v>
      </c>
      <c r="U317">
        <v>15675</v>
      </c>
      <c r="V317">
        <v>16</v>
      </c>
      <c r="W317">
        <v>22</v>
      </c>
      <c r="X317">
        <v>1.056</v>
      </c>
      <c r="Y317">
        <v>17.100000000000001</v>
      </c>
      <c r="Z317" t="s">
        <v>82</v>
      </c>
      <c r="AA317">
        <v>61</v>
      </c>
      <c r="AB317">
        <v>39</v>
      </c>
      <c r="AC317" t="s">
        <v>53</v>
      </c>
      <c r="AD317">
        <v>12554</v>
      </c>
      <c r="AE317">
        <v>4341</v>
      </c>
      <c r="AF317">
        <v>614.48</v>
      </c>
      <c r="AG317">
        <v>69</v>
      </c>
      <c r="AH317">
        <v>1</v>
      </c>
      <c r="AI317">
        <v>50.817340579710141</v>
      </c>
      <c r="AJ317">
        <v>35.82</v>
      </c>
      <c r="AK317">
        <v>38.92</v>
      </c>
      <c r="AL317">
        <v>35.29</v>
      </c>
      <c r="AM317">
        <v>561</v>
      </c>
      <c r="AN317">
        <v>60.04</v>
      </c>
      <c r="AO317">
        <v>295.45999999999998</v>
      </c>
      <c r="AP317">
        <v>17.100000000000001</v>
      </c>
      <c r="AQ317">
        <v>16</v>
      </c>
      <c r="AR317">
        <v>21</v>
      </c>
    </row>
    <row r="318" spans="1:44" x14ac:dyDescent="0.3">
      <c r="A318">
        <v>317</v>
      </c>
      <c r="B318" t="s">
        <v>1094</v>
      </c>
      <c r="C318">
        <v>2024</v>
      </c>
      <c r="D318">
        <f>563</f>
        <v>563</v>
      </c>
      <c r="E318">
        <v>2</v>
      </c>
      <c r="F318" t="s">
        <v>1095</v>
      </c>
      <c r="G318" t="s">
        <v>924</v>
      </c>
      <c r="H318" t="s">
        <v>100</v>
      </c>
      <c r="I318" t="s">
        <v>925</v>
      </c>
      <c r="J318" t="s">
        <v>65</v>
      </c>
      <c r="K318">
        <v>19.7</v>
      </c>
      <c r="L318">
        <v>57.9</v>
      </c>
      <c r="M318">
        <v>1.7</v>
      </c>
      <c r="N318">
        <v>3374</v>
      </c>
      <c r="O318">
        <v>2001</v>
      </c>
      <c r="P318">
        <v>1.7</v>
      </c>
      <c r="Q318">
        <v>42</v>
      </c>
      <c r="R318">
        <v>17.600000000000001</v>
      </c>
      <c r="S318">
        <v>3.17</v>
      </c>
      <c r="T318" t="s">
        <v>51</v>
      </c>
      <c r="U318">
        <v>14168</v>
      </c>
      <c r="V318">
        <v>1</v>
      </c>
      <c r="W318">
        <v>1</v>
      </c>
      <c r="X318">
        <v>1.0169999999999999</v>
      </c>
      <c r="Y318">
        <v>11.1</v>
      </c>
      <c r="Z318" t="s">
        <v>185</v>
      </c>
      <c r="AA318">
        <v>56</v>
      </c>
      <c r="AB318">
        <v>44</v>
      </c>
      <c r="AC318" t="s">
        <v>53</v>
      </c>
      <c r="AD318">
        <v>9368</v>
      </c>
      <c r="AE318">
        <v>5172</v>
      </c>
      <c r="AF318">
        <v>1052</v>
      </c>
      <c r="AG318">
        <v>4</v>
      </c>
      <c r="AH318">
        <v>1050</v>
      </c>
      <c r="AI318">
        <v>25.698499999999999</v>
      </c>
      <c r="AJ318">
        <v>27.65</v>
      </c>
      <c r="AK318">
        <v>8.1300000000000008</v>
      </c>
      <c r="AL318">
        <v>6.39</v>
      </c>
      <c r="AM318">
        <v>563</v>
      </c>
      <c r="AN318">
        <v>59.9</v>
      </c>
      <c r="AO318">
        <v>8.06</v>
      </c>
      <c r="AP318">
        <v>11.1</v>
      </c>
      <c r="AQ318">
        <v>1</v>
      </c>
      <c r="AR318">
        <v>20.9</v>
      </c>
    </row>
    <row r="319" spans="1:44" x14ac:dyDescent="0.3">
      <c r="A319">
        <v>318</v>
      </c>
      <c r="B319" t="s">
        <v>1096</v>
      </c>
      <c r="C319">
        <v>2024</v>
      </c>
      <c r="D319">
        <f>563</f>
        <v>563</v>
      </c>
      <c r="E319">
        <v>96</v>
      </c>
      <c r="F319" t="s">
        <v>1095</v>
      </c>
      <c r="G319" t="s">
        <v>63</v>
      </c>
      <c r="H319" t="s">
        <v>64</v>
      </c>
      <c r="I319" t="s">
        <v>1097</v>
      </c>
      <c r="J319" t="s">
        <v>50</v>
      </c>
      <c r="K319">
        <v>13.2</v>
      </c>
      <c r="L319">
        <v>10.199999999999999</v>
      </c>
      <c r="M319">
        <v>36.6</v>
      </c>
      <c r="N319">
        <v>6786</v>
      </c>
      <c r="O319">
        <v>174</v>
      </c>
      <c r="P319">
        <v>36.6</v>
      </c>
      <c r="Q319">
        <v>205</v>
      </c>
      <c r="R319">
        <v>256</v>
      </c>
      <c r="S319">
        <v>80.147397512666984</v>
      </c>
      <c r="T319" t="s">
        <v>71</v>
      </c>
      <c r="U319">
        <v>40379</v>
      </c>
      <c r="V319">
        <v>13</v>
      </c>
      <c r="W319">
        <v>16</v>
      </c>
      <c r="X319">
        <v>2.1709999999999998</v>
      </c>
      <c r="Y319">
        <v>19</v>
      </c>
      <c r="Z319" t="s">
        <v>521</v>
      </c>
      <c r="AA319">
        <v>62.600013160000003</v>
      </c>
      <c r="AB319">
        <v>37.399986839999997</v>
      </c>
      <c r="AC319" t="s">
        <v>53</v>
      </c>
      <c r="AD319">
        <v>26669</v>
      </c>
      <c r="AE319">
        <v>13780</v>
      </c>
      <c r="AF319">
        <v>647.61</v>
      </c>
      <c r="AG319">
        <v>98</v>
      </c>
      <c r="AH319">
        <v>2</v>
      </c>
      <c r="AI319">
        <v>56.843244897959181</v>
      </c>
      <c r="AJ319">
        <v>29.74</v>
      </c>
      <c r="AK319">
        <v>38.11</v>
      </c>
      <c r="AL319">
        <v>19.260000000000002</v>
      </c>
      <c r="AM319">
        <v>563</v>
      </c>
      <c r="AN319">
        <v>59.9</v>
      </c>
      <c r="AO319">
        <v>124.36</v>
      </c>
      <c r="AP319">
        <v>19</v>
      </c>
      <c r="AQ319">
        <v>13</v>
      </c>
      <c r="AR319">
        <v>20.9</v>
      </c>
    </row>
    <row r="320" spans="1:44" x14ac:dyDescent="0.3">
      <c r="A320">
        <v>319</v>
      </c>
      <c r="B320" t="s">
        <v>1098</v>
      </c>
      <c r="C320">
        <v>2024</v>
      </c>
      <c r="D320">
        <f>567</f>
        <v>567</v>
      </c>
      <c r="E320">
        <v>36</v>
      </c>
      <c r="F320" t="s">
        <v>1099</v>
      </c>
      <c r="G320" t="s">
        <v>107</v>
      </c>
      <c r="H320" t="s">
        <v>108</v>
      </c>
      <c r="I320" t="s">
        <v>1100</v>
      </c>
      <c r="J320" t="s">
        <v>65</v>
      </c>
      <c r="K320">
        <v>4.7</v>
      </c>
      <c r="L320">
        <v>5.2</v>
      </c>
      <c r="M320">
        <v>22.8</v>
      </c>
      <c r="N320">
        <v>415</v>
      </c>
      <c r="O320">
        <v>9410</v>
      </c>
      <c r="P320">
        <v>22.8</v>
      </c>
      <c r="Q320">
        <v>92</v>
      </c>
      <c r="R320">
        <v>29.8</v>
      </c>
      <c r="S320">
        <v>2</v>
      </c>
      <c r="T320" t="s">
        <v>77</v>
      </c>
      <c r="U320">
        <v>3170</v>
      </c>
      <c r="V320">
        <v>34</v>
      </c>
      <c r="W320">
        <v>32</v>
      </c>
      <c r="X320">
        <v>325</v>
      </c>
      <c r="Y320">
        <v>11.2</v>
      </c>
      <c r="Z320" t="s">
        <v>87</v>
      </c>
      <c r="AA320">
        <v>56</v>
      </c>
      <c r="AB320">
        <v>44</v>
      </c>
      <c r="AC320" t="s">
        <v>53</v>
      </c>
      <c r="AD320">
        <v>2387</v>
      </c>
      <c r="AE320">
        <v>1201</v>
      </c>
      <c r="AF320">
        <v>373.87</v>
      </c>
      <c r="AG320">
        <v>21</v>
      </c>
      <c r="AH320">
        <v>54</v>
      </c>
      <c r="AI320">
        <v>57.368190476190478</v>
      </c>
      <c r="AJ320">
        <v>42.18</v>
      </c>
      <c r="AK320">
        <v>66.97</v>
      </c>
      <c r="AL320">
        <v>30.67</v>
      </c>
      <c r="AM320">
        <v>567</v>
      </c>
      <c r="AN320">
        <v>59.61</v>
      </c>
      <c r="AO320">
        <v>25.6</v>
      </c>
      <c r="AP320">
        <v>11.2</v>
      </c>
      <c r="AQ320">
        <v>34</v>
      </c>
      <c r="AR320">
        <v>20.8</v>
      </c>
    </row>
    <row r="321" spans="1:44" x14ac:dyDescent="0.3">
      <c r="A321">
        <v>320</v>
      </c>
      <c r="B321" t="s">
        <v>1101</v>
      </c>
      <c r="C321">
        <v>2024</v>
      </c>
      <c r="D321">
        <f>567</f>
        <v>567</v>
      </c>
      <c r="E321">
        <v>14</v>
      </c>
      <c r="F321" t="s">
        <v>1099</v>
      </c>
      <c r="G321" t="s">
        <v>239</v>
      </c>
      <c r="H321" t="s">
        <v>100</v>
      </c>
      <c r="I321" t="s">
        <v>240</v>
      </c>
      <c r="J321" t="s">
        <v>50</v>
      </c>
      <c r="K321">
        <v>19.5</v>
      </c>
      <c r="L321">
        <v>39</v>
      </c>
      <c r="M321">
        <v>2.7</v>
      </c>
      <c r="N321">
        <v>1909</v>
      </c>
      <c r="O321">
        <v>3231</v>
      </c>
      <c r="P321">
        <v>2.7</v>
      </c>
      <c r="Q321">
        <v>54</v>
      </c>
      <c r="R321">
        <v>15.8</v>
      </c>
      <c r="S321">
        <v>1.99</v>
      </c>
      <c r="T321" t="s">
        <v>77</v>
      </c>
      <c r="U321">
        <v>12329</v>
      </c>
      <c r="V321">
        <v>12</v>
      </c>
      <c r="W321">
        <v>16</v>
      </c>
      <c r="X321">
        <v>917</v>
      </c>
      <c r="Y321">
        <v>14.9</v>
      </c>
      <c r="Z321" t="s">
        <v>116</v>
      </c>
      <c r="AA321">
        <v>57</v>
      </c>
      <c r="AB321">
        <v>43</v>
      </c>
      <c r="AC321" t="s">
        <v>53</v>
      </c>
      <c r="AD321">
        <v>9017</v>
      </c>
      <c r="AE321">
        <v>4213</v>
      </c>
      <c r="AF321">
        <v>1161.4000000000001</v>
      </c>
      <c r="AG321">
        <v>22</v>
      </c>
      <c r="AH321">
        <v>154</v>
      </c>
      <c r="AI321">
        <v>33.419431818181813</v>
      </c>
      <c r="AJ321">
        <v>25.98</v>
      </c>
      <c r="AK321">
        <v>28.31</v>
      </c>
      <c r="AL321">
        <v>8.91</v>
      </c>
      <c r="AM321">
        <v>567</v>
      </c>
      <c r="AN321">
        <v>59.61</v>
      </c>
      <c r="AO321">
        <v>7.94</v>
      </c>
      <c r="AP321">
        <v>14.9</v>
      </c>
      <c r="AQ321">
        <v>12</v>
      </c>
      <c r="AR321">
        <v>20.8</v>
      </c>
    </row>
    <row r="322" spans="1:44" x14ac:dyDescent="0.3">
      <c r="A322">
        <v>321</v>
      </c>
      <c r="B322" t="s">
        <v>1102</v>
      </c>
      <c r="C322">
        <v>2024</v>
      </c>
      <c r="D322">
        <f>567</f>
        <v>567</v>
      </c>
      <c r="E322">
        <v>60</v>
      </c>
      <c r="F322" t="s">
        <v>1099</v>
      </c>
      <c r="G322" t="s">
        <v>47</v>
      </c>
      <c r="H322" t="s">
        <v>48</v>
      </c>
      <c r="I322" t="s">
        <v>1103</v>
      </c>
      <c r="J322" t="s">
        <v>50</v>
      </c>
      <c r="K322">
        <v>12.5</v>
      </c>
      <c r="L322">
        <v>15</v>
      </c>
      <c r="M322">
        <v>20.9</v>
      </c>
      <c r="N322">
        <v>1539</v>
      </c>
      <c r="O322">
        <v>33308</v>
      </c>
      <c r="P322">
        <v>20.9</v>
      </c>
      <c r="Q322">
        <v>197</v>
      </c>
      <c r="R322">
        <v>27.1</v>
      </c>
      <c r="S322">
        <v>1.55</v>
      </c>
      <c r="T322" t="s">
        <v>58</v>
      </c>
      <c r="U322">
        <v>14270</v>
      </c>
      <c r="V322">
        <v>26</v>
      </c>
      <c r="W322">
        <v>31</v>
      </c>
      <c r="X322">
        <v>816</v>
      </c>
      <c r="Y322">
        <v>19.8</v>
      </c>
      <c r="Z322" t="s">
        <v>110</v>
      </c>
      <c r="AA322">
        <v>58</v>
      </c>
      <c r="AB322">
        <v>42</v>
      </c>
      <c r="AC322" t="s">
        <v>53</v>
      </c>
      <c r="AD322">
        <v>8860</v>
      </c>
      <c r="AE322">
        <v>5340</v>
      </c>
      <c r="AF322">
        <v>614.48</v>
      </c>
      <c r="AG322">
        <v>69</v>
      </c>
      <c r="AH322">
        <v>1</v>
      </c>
      <c r="AI322">
        <v>50.817340579710141</v>
      </c>
      <c r="AJ322">
        <v>35.82</v>
      </c>
      <c r="AK322">
        <v>38.92</v>
      </c>
      <c r="AL322">
        <v>35.29</v>
      </c>
      <c r="AM322">
        <v>567</v>
      </c>
      <c r="AN322">
        <v>59.61</v>
      </c>
      <c r="AO322">
        <v>23.38</v>
      </c>
      <c r="AP322">
        <v>19.8</v>
      </c>
      <c r="AQ322">
        <v>26</v>
      </c>
      <c r="AR322">
        <v>20.8</v>
      </c>
    </row>
    <row r="323" spans="1:44" x14ac:dyDescent="0.3">
      <c r="A323">
        <v>322</v>
      </c>
      <c r="B323" t="s">
        <v>1104</v>
      </c>
      <c r="C323">
        <v>2024</v>
      </c>
      <c r="D323">
        <f>571</f>
        <v>571</v>
      </c>
      <c r="E323">
        <v>3</v>
      </c>
      <c r="F323" t="s">
        <v>1105</v>
      </c>
      <c r="G323" t="s">
        <v>555</v>
      </c>
      <c r="H323" t="s">
        <v>100</v>
      </c>
      <c r="I323" t="s">
        <v>1106</v>
      </c>
      <c r="J323" t="s">
        <v>50</v>
      </c>
      <c r="K323">
        <v>33.799999999999997</v>
      </c>
      <c r="L323">
        <v>19.3</v>
      </c>
      <c r="M323">
        <v>3.9</v>
      </c>
      <c r="N323">
        <v>13793</v>
      </c>
      <c r="O323">
        <v>673</v>
      </c>
      <c r="P323">
        <v>3.9</v>
      </c>
      <c r="Q323">
        <v>155</v>
      </c>
      <c r="R323">
        <v>718</v>
      </c>
      <c r="S323">
        <v>268.12749003984072</v>
      </c>
      <c r="T323" t="s">
        <v>58</v>
      </c>
      <c r="U323">
        <v>33649</v>
      </c>
      <c r="V323">
        <v>4</v>
      </c>
      <c r="W323">
        <v>4</v>
      </c>
      <c r="X323">
        <v>2.5099999999999998</v>
      </c>
      <c r="Y323">
        <v>13.6</v>
      </c>
      <c r="Z323" t="s">
        <v>138</v>
      </c>
      <c r="AA323">
        <v>61</v>
      </c>
      <c r="AB323">
        <v>39</v>
      </c>
      <c r="AC323" t="s">
        <v>53</v>
      </c>
      <c r="AD323">
        <v>23746</v>
      </c>
      <c r="AE323">
        <v>11945</v>
      </c>
      <c r="AF323">
        <v>1257.07</v>
      </c>
      <c r="AG323">
        <v>10</v>
      </c>
      <c r="AH323">
        <v>612</v>
      </c>
      <c r="AI323">
        <v>27.2866</v>
      </c>
      <c r="AJ323">
        <v>27.35</v>
      </c>
      <c r="AK323">
        <v>13.88</v>
      </c>
      <c r="AL323">
        <v>3.81</v>
      </c>
      <c r="AM323">
        <v>571</v>
      </c>
      <c r="AN323">
        <v>59.33</v>
      </c>
      <c r="AO323">
        <v>289.54000000000002</v>
      </c>
      <c r="AP323">
        <v>13.6</v>
      </c>
      <c r="AQ323">
        <v>4</v>
      </c>
      <c r="AR323">
        <v>20.7</v>
      </c>
    </row>
    <row r="324" spans="1:44" x14ac:dyDescent="0.3">
      <c r="A324">
        <v>323</v>
      </c>
      <c r="B324" t="s">
        <v>1107</v>
      </c>
      <c r="C324">
        <v>2024</v>
      </c>
      <c r="D324">
        <f>571</f>
        <v>571</v>
      </c>
      <c r="E324">
        <v>64</v>
      </c>
      <c r="F324" t="s">
        <v>1105</v>
      </c>
      <c r="G324" t="s">
        <v>47</v>
      </c>
      <c r="H324" t="s">
        <v>48</v>
      </c>
      <c r="I324" t="s">
        <v>1108</v>
      </c>
      <c r="J324" t="s">
        <v>50</v>
      </c>
      <c r="K324">
        <v>9.1999999999999993</v>
      </c>
      <c r="L324">
        <v>12.5</v>
      </c>
      <c r="M324">
        <v>6.8</v>
      </c>
      <c r="N324">
        <v>10994</v>
      </c>
      <c r="O324">
        <v>29596</v>
      </c>
      <c r="P324">
        <v>6.8</v>
      </c>
      <c r="Q324">
        <v>185</v>
      </c>
      <c r="R324">
        <v>15.4</v>
      </c>
      <c r="S324">
        <v>3.9</v>
      </c>
      <c r="T324" t="s">
        <v>51</v>
      </c>
      <c r="U324">
        <v>32635</v>
      </c>
      <c r="V324">
        <v>48</v>
      </c>
      <c r="W324">
        <v>58</v>
      </c>
      <c r="X324">
        <v>2.3039999999999998</v>
      </c>
      <c r="Y324">
        <v>14.9</v>
      </c>
      <c r="Z324" t="s">
        <v>52</v>
      </c>
      <c r="AA324">
        <v>50</v>
      </c>
      <c r="AB324">
        <v>50</v>
      </c>
      <c r="AC324" t="s">
        <v>53</v>
      </c>
      <c r="AD324">
        <v>20022</v>
      </c>
      <c r="AE324">
        <v>10618</v>
      </c>
      <c r="AF324">
        <v>614.48</v>
      </c>
      <c r="AG324">
        <v>69</v>
      </c>
      <c r="AH324">
        <v>1</v>
      </c>
      <c r="AI324">
        <v>50.817340579710141</v>
      </c>
      <c r="AJ324">
        <v>35.82</v>
      </c>
      <c r="AK324">
        <v>38.92</v>
      </c>
      <c r="AL324">
        <v>35.29</v>
      </c>
      <c r="AM324">
        <v>571</v>
      </c>
      <c r="AN324">
        <v>59.33</v>
      </c>
      <c r="AO324">
        <v>10.24</v>
      </c>
      <c r="AP324">
        <v>14.9</v>
      </c>
      <c r="AQ324">
        <v>48</v>
      </c>
      <c r="AR324">
        <v>20.7</v>
      </c>
    </row>
    <row r="325" spans="1:44" x14ac:dyDescent="0.3">
      <c r="A325">
        <v>324</v>
      </c>
      <c r="B325" t="s">
        <v>1109</v>
      </c>
      <c r="C325">
        <v>2024</v>
      </c>
      <c r="D325">
        <f>571</f>
        <v>571</v>
      </c>
      <c r="E325">
        <v>3</v>
      </c>
      <c r="F325" t="s">
        <v>1105</v>
      </c>
      <c r="G325" t="s">
        <v>755</v>
      </c>
      <c r="H325" t="s">
        <v>48</v>
      </c>
      <c r="I325" t="s">
        <v>1110</v>
      </c>
      <c r="J325" t="s">
        <v>50</v>
      </c>
      <c r="K325">
        <v>22.8</v>
      </c>
      <c r="L325">
        <v>49.8</v>
      </c>
      <c r="M325">
        <v>4.3</v>
      </c>
      <c r="N325">
        <v>5008</v>
      </c>
      <c r="O325">
        <v>304</v>
      </c>
      <c r="P325">
        <v>4.3</v>
      </c>
      <c r="Q325">
        <v>89</v>
      </c>
      <c r="R325">
        <v>570</v>
      </c>
      <c r="S325">
        <v>131.8300086730269</v>
      </c>
      <c r="T325" t="s">
        <v>77</v>
      </c>
      <c r="U325">
        <v>23167</v>
      </c>
      <c r="V325">
        <v>7</v>
      </c>
      <c r="W325">
        <v>8</v>
      </c>
      <c r="X325">
        <v>2.306</v>
      </c>
      <c r="Y325">
        <v>17.100000000000001</v>
      </c>
      <c r="Z325" t="s">
        <v>272</v>
      </c>
      <c r="AA325">
        <v>31</v>
      </c>
      <c r="AB325">
        <v>69</v>
      </c>
      <c r="AC325" t="s">
        <v>53</v>
      </c>
      <c r="AD325">
        <v>14187</v>
      </c>
      <c r="AE325">
        <v>7507</v>
      </c>
      <c r="AF325">
        <v>1260.32</v>
      </c>
      <c r="AG325">
        <v>8</v>
      </c>
      <c r="AH325">
        <v>614</v>
      </c>
      <c r="AI325">
        <v>28.03875</v>
      </c>
      <c r="AJ325">
        <v>23.47</v>
      </c>
      <c r="AK325">
        <v>21.97</v>
      </c>
      <c r="AL325">
        <v>11.88</v>
      </c>
      <c r="AM325">
        <v>571</v>
      </c>
      <c r="AN325">
        <v>59.33</v>
      </c>
      <c r="AO325">
        <v>230.58</v>
      </c>
      <c r="AP325">
        <v>17.100000000000001</v>
      </c>
      <c r="AQ325">
        <v>7</v>
      </c>
      <c r="AR325">
        <v>20.7</v>
      </c>
    </row>
    <row r="326" spans="1:44" x14ac:dyDescent="0.3">
      <c r="A326">
        <v>325</v>
      </c>
      <c r="B326" t="s">
        <v>1111</v>
      </c>
      <c r="C326">
        <v>2024</v>
      </c>
      <c r="D326">
        <f>577</f>
        <v>577</v>
      </c>
      <c r="E326">
        <v>2</v>
      </c>
      <c r="F326" t="s">
        <v>1112</v>
      </c>
      <c r="G326" t="s">
        <v>1113</v>
      </c>
      <c r="H326" t="s">
        <v>100</v>
      </c>
      <c r="I326" t="s">
        <v>1114</v>
      </c>
      <c r="J326" t="s">
        <v>50</v>
      </c>
      <c r="K326">
        <v>23.7</v>
      </c>
      <c r="L326">
        <v>49.8</v>
      </c>
      <c r="M326">
        <v>2.1</v>
      </c>
      <c r="N326">
        <v>9051</v>
      </c>
      <c r="O326">
        <v>4627</v>
      </c>
      <c r="P326">
        <v>2.1</v>
      </c>
      <c r="Q326">
        <v>58</v>
      </c>
      <c r="R326">
        <v>18.2</v>
      </c>
      <c r="S326">
        <v>4.46</v>
      </c>
      <c r="T326" t="s">
        <v>58</v>
      </c>
      <c r="U326">
        <v>46704</v>
      </c>
      <c r="V326">
        <v>16</v>
      </c>
      <c r="W326">
        <v>18</v>
      </c>
      <c r="X326">
        <v>3.206</v>
      </c>
      <c r="Y326">
        <v>14.6</v>
      </c>
      <c r="Z326" t="s">
        <v>1115</v>
      </c>
      <c r="AA326">
        <v>55</v>
      </c>
      <c r="AB326">
        <v>45</v>
      </c>
      <c r="AC326" t="s">
        <v>53</v>
      </c>
      <c r="AD326">
        <v>35166</v>
      </c>
      <c r="AE326">
        <v>8939</v>
      </c>
      <c r="AF326">
        <v>818.7</v>
      </c>
      <c r="AG326">
        <v>2</v>
      </c>
      <c r="AH326">
        <v>591</v>
      </c>
      <c r="AI326">
        <v>37.521250000000002</v>
      </c>
      <c r="AJ326">
        <v>19.260000000000002</v>
      </c>
      <c r="AK326">
        <v>10.220000000000001</v>
      </c>
      <c r="AL326">
        <v>20.399999999999999</v>
      </c>
      <c r="AM326">
        <v>577</v>
      </c>
      <c r="AN326">
        <v>58.9</v>
      </c>
      <c r="AO326">
        <v>8.5399999999999991</v>
      </c>
      <c r="AP326">
        <v>14.6</v>
      </c>
      <c r="AQ326">
        <v>16</v>
      </c>
      <c r="AR326">
        <v>20.5</v>
      </c>
    </row>
    <row r="327" spans="1:44" x14ac:dyDescent="0.3">
      <c r="A327">
        <v>326</v>
      </c>
      <c r="B327" t="s">
        <v>1116</v>
      </c>
      <c r="C327">
        <v>2024</v>
      </c>
      <c r="D327">
        <f>580</f>
        <v>580</v>
      </c>
      <c r="E327">
        <v>6</v>
      </c>
      <c r="F327" t="s">
        <v>1117</v>
      </c>
      <c r="G327" t="s">
        <v>725</v>
      </c>
      <c r="H327" t="s">
        <v>100</v>
      </c>
      <c r="I327" t="s">
        <v>1118</v>
      </c>
      <c r="J327" t="s">
        <v>65</v>
      </c>
      <c r="K327">
        <v>11.5</v>
      </c>
      <c r="L327">
        <v>17.899999999999999</v>
      </c>
      <c r="M327">
        <v>12.4</v>
      </c>
      <c r="N327">
        <v>581</v>
      </c>
      <c r="O327">
        <v>5081</v>
      </c>
      <c r="P327">
        <v>12.4</v>
      </c>
      <c r="Q327">
        <v>65</v>
      </c>
      <c r="R327">
        <v>30.2</v>
      </c>
      <c r="S327">
        <v>3.16</v>
      </c>
      <c r="T327" t="s">
        <v>96</v>
      </c>
      <c r="U327">
        <v>2506</v>
      </c>
      <c r="V327">
        <v>60</v>
      </c>
      <c r="W327">
        <v>60</v>
      </c>
      <c r="X327">
        <v>239</v>
      </c>
      <c r="Y327">
        <v>10.9</v>
      </c>
      <c r="Z327" t="s">
        <v>66</v>
      </c>
      <c r="AA327">
        <v>50</v>
      </c>
      <c r="AB327">
        <v>50</v>
      </c>
      <c r="AC327" t="s">
        <v>53</v>
      </c>
      <c r="AD327">
        <v>1537</v>
      </c>
      <c r="AE327">
        <v>807</v>
      </c>
      <c r="AF327">
        <v>460.42</v>
      </c>
      <c r="AG327">
        <v>5</v>
      </c>
      <c r="AH327">
        <v>229</v>
      </c>
      <c r="AI327">
        <v>49.677900000000001</v>
      </c>
      <c r="AJ327">
        <v>26.87</v>
      </c>
      <c r="AK327">
        <v>33.99</v>
      </c>
      <c r="AL327">
        <v>36.58</v>
      </c>
      <c r="AM327">
        <v>580</v>
      </c>
      <c r="AN327">
        <v>58.68</v>
      </c>
      <c r="AO327">
        <v>19.52</v>
      </c>
      <c r="AP327">
        <v>10.9</v>
      </c>
      <c r="AQ327">
        <v>60</v>
      </c>
      <c r="AR327">
        <v>20.399999999999999</v>
      </c>
    </row>
    <row r="328" spans="1:44" x14ac:dyDescent="0.3">
      <c r="A328">
        <v>327</v>
      </c>
      <c r="B328" t="s">
        <v>1119</v>
      </c>
      <c r="C328">
        <v>2024</v>
      </c>
      <c r="D328">
        <f>580</f>
        <v>580</v>
      </c>
      <c r="E328">
        <v>16</v>
      </c>
      <c r="F328" t="s">
        <v>1117</v>
      </c>
      <c r="G328" t="s">
        <v>410</v>
      </c>
      <c r="H328" t="s">
        <v>48</v>
      </c>
      <c r="I328" t="s">
        <v>1120</v>
      </c>
      <c r="J328" t="s">
        <v>50</v>
      </c>
      <c r="K328">
        <v>5.5</v>
      </c>
      <c r="L328">
        <v>4.3</v>
      </c>
      <c r="M328">
        <v>11.4</v>
      </c>
      <c r="N328">
        <v>1812</v>
      </c>
      <c r="O328">
        <v>4302</v>
      </c>
      <c r="P328">
        <v>11.4</v>
      </c>
      <c r="Q328">
        <v>69</v>
      </c>
      <c r="R328">
        <v>11.8</v>
      </c>
      <c r="S328">
        <v>4.37</v>
      </c>
      <c r="T328" t="s">
        <v>77</v>
      </c>
      <c r="U328">
        <v>3479</v>
      </c>
      <c r="V328">
        <v>31</v>
      </c>
      <c r="W328">
        <v>33</v>
      </c>
      <c r="X328">
        <v>427</v>
      </c>
      <c r="Y328">
        <v>10</v>
      </c>
      <c r="Z328" t="s">
        <v>358</v>
      </c>
      <c r="AA328">
        <v>66</v>
      </c>
      <c r="AB328">
        <v>34</v>
      </c>
      <c r="AC328" t="s">
        <v>53</v>
      </c>
      <c r="AD328">
        <v>2603</v>
      </c>
      <c r="AE328">
        <v>774</v>
      </c>
      <c r="AF328">
        <v>435</v>
      </c>
      <c r="AG328">
        <v>3</v>
      </c>
      <c r="AH328">
        <v>119</v>
      </c>
      <c r="AI328">
        <v>51.205833333333331</v>
      </c>
      <c r="AJ328">
        <v>43.87</v>
      </c>
      <c r="AK328">
        <v>38.33</v>
      </c>
      <c r="AL328">
        <v>33</v>
      </c>
      <c r="AM328">
        <v>580</v>
      </c>
      <c r="AN328">
        <v>58.68</v>
      </c>
      <c r="AO328">
        <v>11.56</v>
      </c>
      <c r="AP328">
        <v>10</v>
      </c>
      <c r="AQ328">
        <v>31</v>
      </c>
      <c r="AR328">
        <v>20.399999999999999</v>
      </c>
    </row>
    <row r="329" spans="1:44" x14ac:dyDescent="0.3">
      <c r="A329">
        <v>328</v>
      </c>
      <c r="B329" t="s">
        <v>1121</v>
      </c>
      <c r="C329">
        <v>2024</v>
      </c>
      <c r="D329">
        <f>586</f>
        <v>586</v>
      </c>
      <c r="E329">
        <v>10</v>
      </c>
      <c r="F329" t="s">
        <v>1122</v>
      </c>
      <c r="G329" t="s">
        <v>1123</v>
      </c>
      <c r="H329" t="s">
        <v>100</v>
      </c>
      <c r="I329" t="s">
        <v>1124</v>
      </c>
      <c r="J329" t="s">
        <v>65</v>
      </c>
      <c r="K329">
        <v>10.5</v>
      </c>
      <c r="L329">
        <v>44.1</v>
      </c>
      <c r="M329">
        <v>7.2</v>
      </c>
      <c r="N329">
        <v>874</v>
      </c>
      <c r="O329">
        <v>5669</v>
      </c>
      <c r="P329">
        <v>7.2</v>
      </c>
      <c r="Q329">
        <v>84</v>
      </c>
      <c r="R329">
        <v>23</v>
      </c>
      <c r="S329">
        <v>2.88</v>
      </c>
      <c r="T329" t="s">
        <v>58</v>
      </c>
      <c r="U329">
        <v>4350</v>
      </c>
      <c r="V329">
        <v>14</v>
      </c>
      <c r="W329">
        <v>27</v>
      </c>
      <c r="X329">
        <v>569</v>
      </c>
      <c r="Y329">
        <v>8.1</v>
      </c>
      <c r="Z329" t="s">
        <v>185</v>
      </c>
      <c r="AA329">
        <v>53</v>
      </c>
      <c r="AB329">
        <v>47</v>
      </c>
      <c r="AC329" t="s">
        <v>53</v>
      </c>
      <c r="AD329">
        <v>3516</v>
      </c>
      <c r="AE329">
        <v>1530</v>
      </c>
      <c r="AF329">
        <v>795.19</v>
      </c>
      <c r="AG329">
        <v>8</v>
      </c>
      <c r="AH329">
        <v>685</v>
      </c>
      <c r="AI329">
        <v>29.588437500000001</v>
      </c>
      <c r="AJ329">
        <v>29.39</v>
      </c>
      <c r="AK329">
        <v>22.69</v>
      </c>
      <c r="AL329">
        <v>21.22</v>
      </c>
      <c r="AM329">
        <v>586</v>
      </c>
      <c r="AN329">
        <v>58.26</v>
      </c>
      <c r="AO329">
        <v>13.52</v>
      </c>
      <c r="AP329">
        <v>8.1</v>
      </c>
      <c r="AQ329">
        <v>14</v>
      </c>
      <c r="AR329">
        <v>20.2</v>
      </c>
    </row>
    <row r="330" spans="1:44" x14ac:dyDescent="0.3">
      <c r="A330">
        <v>329</v>
      </c>
      <c r="B330" t="s">
        <v>1125</v>
      </c>
      <c r="C330">
        <v>2024</v>
      </c>
      <c r="D330">
        <f>593</f>
        <v>593</v>
      </c>
      <c r="E330">
        <v>74</v>
      </c>
      <c r="F330" t="s">
        <v>1126</v>
      </c>
      <c r="G330" t="s">
        <v>47</v>
      </c>
      <c r="H330" t="s">
        <v>48</v>
      </c>
      <c r="I330" t="s">
        <v>76</v>
      </c>
      <c r="J330" t="s">
        <v>50</v>
      </c>
      <c r="K330">
        <v>14.9</v>
      </c>
      <c r="L330">
        <v>6</v>
      </c>
      <c r="M330">
        <v>13.6</v>
      </c>
      <c r="N330">
        <v>767</v>
      </c>
      <c r="O330">
        <v>6169</v>
      </c>
      <c r="P330">
        <v>13.6</v>
      </c>
      <c r="Q330">
        <v>99</v>
      </c>
      <c r="R330">
        <v>17.600000000000001</v>
      </c>
      <c r="S330">
        <v>2.1</v>
      </c>
      <c r="T330" t="s">
        <v>96</v>
      </c>
      <c r="U330">
        <v>8780</v>
      </c>
      <c r="V330">
        <v>38</v>
      </c>
      <c r="W330">
        <v>48</v>
      </c>
      <c r="X330">
        <v>683</v>
      </c>
      <c r="Y330">
        <v>14.5</v>
      </c>
      <c r="Z330" t="s">
        <v>368</v>
      </c>
      <c r="AA330">
        <v>69</v>
      </c>
      <c r="AB330">
        <v>31</v>
      </c>
      <c r="AC330" t="s">
        <v>53</v>
      </c>
      <c r="AD330">
        <v>4759</v>
      </c>
      <c r="AE330">
        <v>3436</v>
      </c>
      <c r="AF330">
        <v>614.48</v>
      </c>
      <c r="AG330">
        <v>69</v>
      </c>
      <c r="AH330">
        <v>1</v>
      </c>
      <c r="AI330">
        <v>50.817340579710141</v>
      </c>
      <c r="AJ330">
        <v>35.82</v>
      </c>
      <c r="AK330">
        <v>38.92</v>
      </c>
      <c r="AL330">
        <v>35.29</v>
      </c>
      <c r="AM330">
        <v>593</v>
      </c>
      <c r="AN330">
        <v>57.76</v>
      </c>
      <c r="AO330">
        <v>15.2</v>
      </c>
      <c r="AP330">
        <v>14.5</v>
      </c>
      <c r="AQ330">
        <v>38</v>
      </c>
      <c r="AR330">
        <v>20</v>
      </c>
    </row>
    <row r="331" spans="1:44" x14ac:dyDescent="0.3">
      <c r="A331">
        <v>330</v>
      </c>
      <c r="B331" t="s">
        <v>1127</v>
      </c>
      <c r="C331">
        <v>2024</v>
      </c>
      <c r="D331">
        <f>593</f>
        <v>593</v>
      </c>
      <c r="E331">
        <v>128</v>
      </c>
      <c r="F331" t="s">
        <v>1126</v>
      </c>
      <c r="G331" t="s">
        <v>63</v>
      </c>
      <c r="H331" t="s">
        <v>64</v>
      </c>
      <c r="I331" t="s">
        <v>1128</v>
      </c>
      <c r="J331" t="s">
        <v>50</v>
      </c>
      <c r="K331">
        <v>14.4</v>
      </c>
      <c r="L331">
        <v>37.1</v>
      </c>
      <c r="M331">
        <v>25.7</v>
      </c>
      <c r="N331">
        <v>23867</v>
      </c>
      <c r="O331">
        <v>405</v>
      </c>
      <c r="P331">
        <v>25.7</v>
      </c>
      <c r="Q331">
        <v>472</v>
      </c>
      <c r="R331">
        <v>463</v>
      </c>
      <c r="S331">
        <v>188.7232059645853</v>
      </c>
      <c r="T331" t="s">
        <v>77</v>
      </c>
      <c r="U331">
        <v>65269</v>
      </c>
      <c r="V331">
        <v>4</v>
      </c>
      <c r="W331">
        <v>5</v>
      </c>
      <c r="X331">
        <v>2.1459999999999999</v>
      </c>
      <c r="Y331">
        <v>39.1</v>
      </c>
      <c r="Z331" t="s">
        <v>457</v>
      </c>
      <c r="AA331">
        <v>57</v>
      </c>
      <c r="AB331">
        <v>43</v>
      </c>
      <c r="AC331" t="s">
        <v>53</v>
      </c>
      <c r="AD331">
        <v>39359</v>
      </c>
      <c r="AE331">
        <v>21650</v>
      </c>
      <c r="AF331">
        <v>647.61</v>
      </c>
      <c r="AG331">
        <v>98</v>
      </c>
      <c r="AH331">
        <v>2</v>
      </c>
      <c r="AI331">
        <v>56.843244897959181</v>
      </c>
      <c r="AJ331">
        <v>29.74</v>
      </c>
      <c r="AK331">
        <v>38.11</v>
      </c>
      <c r="AL331">
        <v>19.260000000000002</v>
      </c>
      <c r="AM331">
        <v>593</v>
      </c>
      <c r="AN331">
        <v>57.76</v>
      </c>
      <c r="AO331">
        <v>200.62</v>
      </c>
      <c r="AP331">
        <v>39.1</v>
      </c>
      <c r="AQ331">
        <v>4</v>
      </c>
      <c r="AR331">
        <v>20</v>
      </c>
    </row>
    <row r="332" spans="1:44" x14ac:dyDescent="0.3">
      <c r="A332">
        <v>331</v>
      </c>
      <c r="B332" t="s">
        <v>1129</v>
      </c>
      <c r="C332">
        <v>2024</v>
      </c>
      <c r="D332">
        <f>595</f>
        <v>595</v>
      </c>
      <c r="E332">
        <v>66</v>
      </c>
      <c r="F332" t="s">
        <v>1130</v>
      </c>
      <c r="G332" t="s">
        <v>47</v>
      </c>
      <c r="H332" t="s">
        <v>48</v>
      </c>
      <c r="I332" t="s">
        <v>309</v>
      </c>
      <c r="J332" t="s">
        <v>50</v>
      </c>
      <c r="K332">
        <v>10.6</v>
      </c>
      <c r="L332">
        <v>20.5</v>
      </c>
      <c r="M332">
        <v>5.2</v>
      </c>
      <c r="N332">
        <v>5527</v>
      </c>
      <c r="O332">
        <v>20796</v>
      </c>
      <c r="P332">
        <v>5.2</v>
      </c>
      <c r="Q332">
        <v>153</v>
      </c>
      <c r="R332">
        <v>13.6</v>
      </c>
      <c r="S332">
        <v>2.66</v>
      </c>
      <c r="T332" t="s">
        <v>71</v>
      </c>
      <c r="U332">
        <v>32545</v>
      </c>
      <c r="V332">
        <v>21</v>
      </c>
      <c r="W332">
        <v>25</v>
      </c>
      <c r="X332">
        <v>2075</v>
      </c>
      <c r="Y332">
        <v>15.4</v>
      </c>
      <c r="Z332" t="s">
        <v>146</v>
      </c>
      <c r="AA332">
        <v>54</v>
      </c>
      <c r="AB332">
        <v>46</v>
      </c>
      <c r="AC332" t="s">
        <v>53</v>
      </c>
      <c r="AD332">
        <v>21436</v>
      </c>
      <c r="AE332">
        <v>14569</v>
      </c>
      <c r="AF332">
        <v>614.48</v>
      </c>
      <c r="AG332">
        <v>69</v>
      </c>
      <c r="AH332">
        <v>1</v>
      </c>
      <c r="AI332">
        <v>50.817340579710141</v>
      </c>
      <c r="AJ332">
        <v>35.82</v>
      </c>
      <c r="AK332">
        <v>38.92</v>
      </c>
      <c r="AL332">
        <v>35.29</v>
      </c>
      <c r="AM332">
        <v>595</v>
      </c>
      <c r="AN332">
        <v>57.61</v>
      </c>
      <c r="AO332">
        <v>8.56</v>
      </c>
      <c r="AP332">
        <v>15.4</v>
      </c>
      <c r="AQ332">
        <v>21</v>
      </c>
      <c r="AR332">
        <v>19.899999999999999</v>
      </c>
    </row>
    <row r="333" spans="1:44" x14ac:dyDescent="0.3">
      <c r="A333">
        <v>332</v>
      </c>
      <c r="B333" t="s">
        <v>1131</v>
      </c>
      <c r="C333">
        <v>2024</v>
      </c>
      <c r="D333">
        <f>595</f>
        <v>595</v>
      </c>
      <c r="E333">
        <v>58</v>
      </c>
      <c r="F333" t="s">
        <v>1130</v>
      </c>
      <c r="G333" t="s">
        <v>99</v>
      </c>
      <c r="H333" t="s">
        <v>100</v>
      </c>
      <c r="I333" t="s">
        <v>1132</v>
      </c>
      <c r="J333" t="s">
        <v>50</v>
      </c>
      <c r="K333">
        <v>8.4</v>
      </c>
      <c r="L333">
        <v>2.2999999999999998</v>
      </c>
      <c r="M333">
        <v>42.6</v>
      </c>
      <c r="N333">
        <v>8065</v>
      </c>
      <c r="O333">
        <v>673</v>
      </c>
      <c r="P333">
        <v>42.6</v>
      </c>
      <c r="Q333">
        <v>405</v>
      </c>
      <c r="R333">
        <v>665</v>
      </c>
      <c r="S333">
        <v>136.04204568425311</v>
      </c>
      <c r="T333" t="s">
        <v>58</v>
      </c>
      <c r="U333">
        <v>35736</v>
      </c>
      <c r="V333">
        <v>1</v>
      </c>
      <c r="W333">
        <v>1</v>
      </c>
      <c r="X333">
        <v>4.9470000000000001</v>
      </c>
      <c r="Y333">
        <v>14</v>
      </c>
      <c r="Z333" t="s">
        <v>59</v>
      </c>
      <c r="AA333">
        <v>49</v>
      </c>
      <c r="AB333">
        <v>51</v>
      </c>
      <c r="AC333" t="s">
        <v>53</v>
      </c>
      <c r="AD333">
        <v>28327</v>
      </c>
      <c r="AE333">
        <v>6685</v>
      </c>
      <c r="AF333">
        <v>616.32000000000005</v>
      </c>
      <c r="AG333">
        <v>35</v>
      </c>
      <c r="AH333">
        <v>12</v>
      </c>
      <c r="AI333">
        <v>56.538228571428569</v>
      </c>
      <c r="AJ333">
        <v>21.88</v>
      </c>
      <c r="AK333">
        <v>70.61</v>
      </c>
      <c r="AL333">
        <v>14.17</v>
      </c>
      <c r="AM333">
        <v>595</v>
      </c>
      <c r="AN333">
        <v>57.61</v>
      </c>
      <c r="AO333">
        <v>291.56</v>
      </c>
      <c r="AP333">
        <v>14</v>
      </c>
      <c r="AQ333">
        <v>1</v>
      </c>
      <c r="AR333">
        <v>19.899999999999999</v>
      </c>
    </row>
    <row r="334" spans="1:44" x14ac:dyDescent="0.3">
      <c r="A334">
        <v>333</v>
      </c>
      <c r="B334" t="s">
        <v>1133</v>
      </c>
      <c r="C334">
        <v>2024</v>
      </c>
      <c r="D334">
        <f>600</f>
        <v>600</v>
      </c>
      <c r="E334">
        <v>4</v>
      </c>
      <c r="F334" t="s">
        <v>1134</v>
      </c>
      <c r="G334" t="s">
        <v>555</v>
      </c>
      <c r="H334" t="s">
        <v>100</v>
      </c>
      <c r="I334" t="s">
        <v>556</v>
      </c>
      <c r="J334" t="s">
        <v>50</v>
      </c>
      <c r="K334">
        <v>23.8</v>
      </c>
      <c r="L334">
        <v>26.4</v>
      </c>
      <c r="M334">
        <v>2.1</v>
      </c>
      <c r="N334">
        <v>11945</v>
      </c>
      <c r="O334">
        <v>15217</v>
      </c>
      <c r="P334">
        <v>2.1</v>
      </c>
      <c r="Q334">
        <v>121</v>
      </c>
      <c r="R334">
        <v>20.3</v>
      </c>
      <c r="S334">
        <v>3.05</v>
      </c>
      <c r="T334" t="s">
        <v>71</v>
      </c>
      <c r="U334">
        <v>30488</v>
      </c>
      <c r="V334">
        <v>1</v>
      </c>
      <c r="W334">
        <v>1</v>
      </c>
      <c r="X334">
        <v>2.46</v>
      </c>
      <c r="Y334">
        <v>11.4</v>
      </c>
      <c r="Z334" t="s">
        <v>620</v>
      </c>
      <c r="AA334">
        <v>64</v>
      </c>
      <c r="AB334">
        <v>36</v>
      </c>
      <c r="AC334" t="s">
        <v>53</v>
      </c>
      <c r="AD334">
        <v>27620</v>
      </c>
      <c r="AE334">
        <v>12113</v>
      </c>
      <c r="AF334">
        <v>1257.07</v>
      </c>
      <c r="AG334">
        <v>10</v>
      </c>
      <c r="AH334">
        <v>612</v>
      </c>
      <c r="AI334">
        <v>27.2866</v>
      </c>
      <c r="AJ334">
        <v>27.35</v>
      </c>
      <c r="AK334">
        <v>13.88</v>
      </c>
      <c r="AL334">
        <v>3.81</v>
      </c>
      <c r="AM334">
        <v>600</v>
      </c>
      <c r="AN334">
        <v>57.26</v>
      </c>
      <c r="AO334">
        <v>9.3800000000000008</v>
      </c>
      <c r="AP334">
        <v>11.4</v>
      </c>
      <c r="AQ334">
        <v>1</v>
      </c>
      <c r="AR334">
        <v>19.8</v>
      </c>
    </row>
    <row r="335" spans="1:44" x14ac:dyDescent="0.3">
      <c r="A335">
        <v>334</v>
      </c>
      <c r="B335" t="s">
        <v>1135</v>
      </c>
      <c r="C335">
        <v>2024</v>
      </c>
      <c r="D335">
        <f>600</f>
        <v>600</v>
      </c>
      <c r="E335">
        <v>123</v>
      </c>
      <c r="F335" t="s">
        <v>1134</v>
      </c>
      <c r="G335" t="s">
        <v>63</v>
      </c>
      <c r="H335" t="s">
        <v>64</v>
      </c>
      <c r="I335" t="s">
        <v>1136</v>
      </c>
      <c r="J335" t="s">
        <v>65</v>
      </c>
      <c r="K335">
        <v>9.6</v>
      </c>
      <c r="L335">
        <v>5</v>
      </c>
      <c r="M335">
        <v>10.4</v>
      </c>
      <c r="N335">
        <v>2697</v>
      </c>
      <c r="O335">
        <v>541</v>
      </c>
      <c r="P335">
        <v>10.4</v>
      </c>
      <c r="Q335">
        <v>124</v>
      </c>
      <c r="R335">
        <v>494</v>
      </c>
      <c r="S335">
        <v>312.17541834968262</v>
      </c>
      <c r="T335" t="s">
        <v>58</v>
      </c>
      <c r="U335">
        <v>12217</v>
      </c>
      <c r="V335">
        <v>9</v>
      </c>
      <c r="W335">
        <v>10</v>
      </c>
      <c r="X335">
        <v>1.7330000000000001</v>
      </c>
      <c r="Y335">
        <v>7.7</v>
      </c>
      <c r="Z335" t="s">
        <v>202</v>
      </c>
      <c r="AA335">
        <v>61</v>
      </c>
      <c r="AB335">
        <v>39</v>
      </c>
      <c r="AC335" t="s">
        <v>53</v>
      </c>
      <c r="AD335">
        <v>11139</v>
      </c>
      <c r="AE335">
        <v>1974</v>
      </c>
      <c r="AF335">
        <v>647.61</v>
      </c>
      <c r="AG335">
        <v>98</v>
      </c>
      <c r="AH335">
        <v>2</v>
      </c>
      <c r="AI335">
        <v>56.843244897959181</v>
      </c>
      <c r="AJ335">
        <v>29.74</v>
      </c>
      <c r="AK335">
        <v>38.11</v>
      </c>
      <c r="AL335">
        <v>19.260000000000002</v>
      </c>
      <c r="AM335">
        <v>600</v>
      </c>
      <c r="AN335">
        <v>57.26</v>
      </c>
      <c r="AO335">
        <v>203.84</v>
      </c>
      <c r="AP335">
        <v>7.7</v>
      </c>
      <c r="AQ335">
        <v>9</v>
      </c>
      <c r="AR335">
        <v>19.8</v>
      </c>
    </row>
    <row r="336" spans="1:44" x14ac:dyDescent="0.3">
      <c r="A336">
        <v>335</v>
      </c>
      <c r="B336" t="s">
        <v>1137</v>
      </c>
      <c r="C336">
        <v>2024</v>
      </c>
      <c r="D336" t="s">
        <v>1138</v>
      </c>
      <c r="E336">
        <v>115</v>
      </c>
      <c r="F336" t="s">
        <v>1139</v>
      </c>
      <c r="G336" t="s">
        <v>63</v>
      </c>
      <c r="H336" t="s">
        <v>64</v>
      </c>
      <c r="I336" t="s">
        <v>86</v>
      </c>
      <c r="J336" t="s">
        <v>65</v>
      </c>
      <c r="K336">
        <v>8.4</v>
      </c>
      <c r="L336">
        <v>6.1</v>
      </c>
      <c r="M336">
        <v>35.1</v>
      </c>
      <c r="N336">
        <v>3535</v>
      </c>
      <c r="O336">
        <v>187</v>
      </c>
      <c r="P336">
        <v>35.1</v>
      </c>
      <c r="Q336">
        <v>159</v>
      </c>
      <c r="R336">
        <v>444</v>
      </c>
      <c r="S336">
        <v>101.79640718562869</v>
      </c>
      <c r="T336" t="s">
        <v>77</v>
      </c>
      <c r="U336">
        <v>16910</v>
      </c>
      <c r="V336">
        <v>15</v>
      </c>
      <c r="W336">
        <v>15</v>
      </c>
      <c r="X336">
        <v>1.837</v>
      </c>
      <c r="Y336">
        <v>11</v>
      </c>
      <c r="Z336" t="s">
        <v>66</v>
      </c>
      <c r="AA336">
        <v>52</v>
      </c>
      <c r="AB336">
        <v>48</v>
      </c>
      <c r="AC336" t="s">
        <v>53</v>
      </c>
      <c r="AD336">
        <v>14160</v>
      </c>
      <c r="AE336">
        <v>4733</v>
      </c>
      <c r="AF336">
        <v>647.61</v>
      </c>
      <c r="AG336">
        <v>98</v>
      </c>
      <c r="AH336">
        <v>2</v>
      </c>
      <c r="AI336">
        <v>56.843244897959181</v>
      </c>
      <c r="AJ336">
        <v>29.74</v>
      </c>
      <c r="AK336">
        <v>38.11</v>
      </c>
      <c r="AL336">
        <v>19.260000000000002</v>
      </c>
      <c r="AM336">
        <v>601</v>
      </c>
      <c r="AN336">
        <v>57.18</v>
      </c>
      <c r="AO336">
        <v>198.66</v>
      </c>
      <c r="AP336">
        <v>11</v>
      </c>
      <c r="AQ336">
        <v>15</v>
      </c>
    </row>
    <row r="337" spans="1:43" x14ac:dyDescent="0.3">
      <c r="A337">
        <v>336</v>
      </c>
      <c r="B337" t="s">
        <v>1140</v>
      </c>
      <c r="C337">
        <v>2024</v>
      </c>
      <c r="D337" t="s">
        <v>1138</v>
      </c>
      <c r="E337">
        <v>15</v>
      </c>
      <c r="F337" t="s">
        <v>1139</v>
      </c>
      <c r="G337" t="s">
        <v>590</v>
      </c>
      <c r="H337" t="s">
        <v>100</v>
      </c>
      <c r="I337" t="s">
        <v>928</v>
      </c>
      <c r="J337" t="s">
        <v>50</v>
      </c>
      <c r="K337">
        <v>29.1</v>
      </c>
      <c r="L337">
        <v>10.6</v>
      </c>
      <c r="M337">
        <v>24.1</v>
      </c>
      <c r="N337">
        <v>1858</v>
      </c>
      <c r="O337">
        <v>1001</v>
      </c>
      <c r="P337">
        <v>24.1</v>
      </c>
      <c r="Q337">
        <v>148</v>
      </c>
      <c r="R337">
        <v>1001</v>
      </c>
      <c r="S337">
        <v>1.771681415929204</v>
      </c>
      <c r="T337" t="s">
        <v>58</v>
      </c>
      <c r="U337">
        <v>9737</v>
      </c>
      <c r="V337">
        <v>1</v>
      </c>
      <c r="W337">
        <v>1</v>
      </c>
      <c r="X337">
        <v>565</v>
      </c>
      <c r="Y337">
        <v>16.100000000000001</v>
      </c>
      <c r="Z337" t="s">
        <v>408</v>
      </c>
      <c r="AA337">
        <v>42</v>
      </c>
      <c r="AB337">
        <v>58</v>
      </c>
      <c r="AC337" t="s">
        <v>53</v>
      </c>
      <c r="AD337">
        <v>5254</v>
      </c>
      <c r="AE337">
        <v>2505</v>
      </c>
      <c r="AF337">
        <v>1100.42</v>
      </c>
      <c r="AG337">
        <v>16</v>
      </c>
      <c r="AH337">
        <v>218</v>
      </c>
      <c r="AI337">
        <v>38.128875000000001</v>
      </c>
      <c r="AJ337">
        <v>27.22</v>
      </c>
      <c r="AK337">
        <v>36.06</v>
      </c>
      <c r="AL337">
        <v>6.8</v>
      </c>
      <c r="AM337">
        <v>601</v>
      </c>
      <c r="AN337">
        <v>57.18</v>
      </c>
      <c r="AO337">
        <v>414.86</v>
      </c>
      <c r="AP337">
        <v>16.100000000000001</v>
      </c>
      <c r="AQ337">
        <v>1</v>
      </c>
    </row>
    <row r="338" spans="1:43" x14ac:dyDescent="0.3">
      <c r="A338">
        <v>337</v>
      </c>
      <c r="B338" t="s">
        <v>1141</v>
      </c>
      <c r="C338">
        <v>2024</v>
      </c>
      <c r="D338" t="s">
        <v>1138</v>
      </c>
      <c r="E338">
        <v>4</v>
      </c>
      <c r="F338" t="s">
        <v>1139</v>
      </c>
      <c r="G338" t="s">
        <v>1142</v>
      </c>
      <c r="H338" t="s">
        <v>48</v>
      </c>
      <c r="I338" t="s">
        <v>1143</v>
      </c>
      <c r="J338" t="s">
        <v>50</v>
      </c>
      <c r="K338">
        <v>18</v>
      </c>
      <c r="L338">
        <v>12</v>
      </c>
      <c r="M338">
        <v>4.9000000000000004</v>
      </c>
      <c r="N338">
        <v>5316</v>
      </c>
      <c r="O338">
        <v>898</v>
      </c>
      <c r="P338">
        <v>4.9000000000000004</v>
      </c>
      <c r="Q338">
        <v>85</v>
      </c>
      <c r="R338">
        <v>684</v>
      </c>
      <c r="S338">
        <v>456.99745547073792</v>
      </c>
      <c r="T338" t="s">
        <v>58</v>
      </c>
      <c r="U338">
        <v>20050</v>
      </c>
      <c r="V338">
        <v>20</v>
      </c>
      <c r="W338">
        <v>19</v>
      </c>
      <c r="X338">
        <v>1.9650000000000001</v>
      </c>
      <c r="Y338">
        <v>12.3</v>
      </c>
      <c r="Z338" t="s">
        <v>116</v>
      </c>
      <c r="AA338">
        <v>56</v>
      </c>
      <c r="AB338">
        <v>44</v>
      </c>
      <c r="AC338" t="s">
        <v>53</v>
      </c>
      <c r="AD338">
        <v>16795</v>
      </c>
      <c r="AE338">
        <v>4531</v>
      </c>
      <c r="AF338">
        <v>969.17</v>
      </c>
      <c r="AG338">
        <v>8</v>
      </c>
      <c r="AH338">
        <v>779</v>
      </c>
      <c r="AI338">
        <v>28.816500000000001</v>
      </c>
      <c r="AJ338">
        <v>22.44</v>
      </c>
      <c r="AK338">
        <v>17.559999999999999</v>
      </c>
      <c r="AL338">
        <v>17.809999999999999</v>
      </c>
      <c r="AM338">
        <v>601</v>
      </c>
      <c r="AN338">
        <v>57.18</v>
      </c>
      <c r="AO338">
        <v>276.54000000000002</v>
      </c>
      <c r="AP338">
        <v>12.3</v>
      </c>
      <c r="AQ338">
        <v>20</v>
      </c>
    </row>
    <row r="339" spans="1:43" x14ac:dyDescent="0.3">
      <c r="A339">
        <v>338</v>
      </c>
      <c r="B339" t="s">
        <v>1144</v>
      </c>
      <c r="C339">
        <v>2024</v>
      </c>
      <c r="D339" t="s">
        <v>1145</v>
      </c>
      <c r="E339">
        <v>4</v>
      </c>
      <c r="F339" t="s">
        <v>1139</v>
      </c>
      <c r="G339" t="s">
        <v>642</v>
      </c>
      <c r="H339" t="s">
        <v>48</v>
      </c>
      <c r="I339" t="s">
        <v>913</v>
      </c>
      <c r="J339" t="s">
        <v>50</v>
      </c>
      <c r="K339">
        <v>13.1</v>
      </c>
      <c r="L339">
        <v>34.700000000000003</v>
      </c>
      <c r="M339">
        <v>6.7</v>
      </c>
      <c r="N339">
        <v>4118</v>
      </c>
      <c r="O339">
        <v>7571</v>
      </c>
      <c r="P339">
        <v>6.7</v>
      </c>
      <c r="Q339">
        <v>79</v>
      </c>
      <c r="R339">
        <v>15.7</v>
      </c>
      <c r="S339">
        <v>4.38</v>
      </c>
      <c r="T339" t="s">
        <v>58</v>
      </c>
      <c r="U339">
        <v>18137</v>
      </c>
      <c r="V339">
        <v>25</v>
      </c>
      <c r="W339">
        <v>26</v>
      </c>
      <c r="X339">
        <v>1.464</v>
      </c>
      <c r="Y339">
        <v>15.5</v>
      </c>
      <c r="Z339" t="s">
        <v>350</v>
      </c>
      <c r="AA339">
        <v>28</v>
      </c>
      <c r="AB339">
        <v>72</v>
      </c>
      <c r="AC339" t="s">
        <v>53</v>
      </c>
      <c r="AD339">
        <v>12943</v>
      </c>
      <c r="AE339">
        <v>4612</v>
      </c>
      <c r="AF339">
        <v>1055.02</v>
      </c>
      <c r="AG339">
        <v>11</v>
      </c>
      <c r="AH339">
        <v>459</v>
      </c>
      <c r="AI339">
        <v>29.911909090909091</v>
      </c>
      <c r="AJ339">
        <v>21.19</v>
      </c>
      <c r="AK339">
        <v>18.600000000000001</v>
      </c>
      <c r="AL339">
        <v>18.350000000000001</v>
      </c>
      <c r="AM339">
        <v>611</v>
      </c>
      <c r="AN339">
        <v>56.47</v>
      </c>
      <c r="AO339">
        <v>10.3</v>
      </c>
      <c r="AP339">
        <v>15.5</v>
      </c>
      <c r="AQ339">
        <v>25</v>
      </c>
    </row>
    <row r="340" spans="1:43" x14ac:dyDescent="0.3">
      <c r="A340">
        <v>339</v>
      </c>
      <c r="B340" t="s">
        <v>1146</v>
      </c>
      <c r="C340">
        <v>2024</v>
      </c>
      <c r="D340" t="s">
        <v>1145</v>
      </c>
      <c r="E340">
        <v>6</v>
      </c>
      <c r="F340" t="s">
        <v>1139</v>
      </c>
      <c r="G340" t="s">
        <v>239</v>
      </c>
      <c r="H340" t="s">
        <v>100</v>
      </c>
      <c r="I340" t="s">
        <v>1147</v>
      </c>
      <c r="J340" t="s">
        <v>50</v>
      </c>
      <c r="K340">
        <v>21.5</v>
      </c>
      <c r="L340">
        <v>27.1</v>
      </c>
      <c r="M340">
        <v>17.8</v>
      </c>
      <c r="N340">
        <v>1533</v>
      </c>
      <c r="O340">
        <v>673</v>
      </c>
      <c r="P340">
        <v>17.8</v>
      </c>
      <c r="Q340">
        <v>98</v>
      </c>
      <c r="R340">
        <v>451</v>
      </c>
      <c r="S340">
        <v>0.68324873096446703</v>
      </c>
      <c r="T340" t="s">
        <v>71</v>
      </c>
      <c r="U340">
        <v>11001</v>
      </c>
      <c r="V340">
        <v>7</v>
      </c>
      <c r="W340">
        <v>7</v>
      </c>
      <c r="X340">
        <v>985</v>
      </c>
      <c r="Y340">
        <v>9.5</v>
      </c>
      <c r="Z340" t="s">
        <v>386</v>
      </c>
      <c r="AA340">
        <v>37</v>
      </c>
      <c r="AB340">
        <v>63</v>
      </c>
      <c r="AC340" t="s">
        <v>53</v>
      </c>
      <c r="AD340">
        <v>6280</v>
      </c>
      <c r="AE340">
        <v>5111</v>
      </c>
      <c r="AF340">
        <v>1161.4000000000001</v>
      </c>
      <c r="AG340">
        <v>22</v>
      </c>
      <c r="AH340">
        <v>154</v>
      </c>
      <c r="AI340">
        <v>33.419431818181813</v>
      </c>
      <c r="AJ340">
        <v>25.98</v>
      </c>
      <c r="AK340">
        <v>28.31</v>
      </c>
      <c r="AL340">
        <v>8.91</v>
      </c>
      <c r="AM340">
        <v>611</v>
      </c>
      <c r="AN340">
        <v>56.47</v>
      </c>
      <c r="AO340">
        <v>191.08</v>
      </c>
      <c r="AP340">
        <v>9.5</v>
      </c>
      <c r="AQ340">
        <v>7</v>
      </c>
    </row>
    <row r="341" spans="1:43" x14ac:dyDescent="0.3">
      <c r="A341">
        <v>340</v>
      </c>
      <c r="B341" t="s">
        <v>1148</v>
      </c>
      <c r="C341">
        <v>2024</v>
      </c>
      <c r="D341" t="s">
        <v>1145</v>
      </c>
      <c r="E341">
        <v>9</v>
      </c>
      <c r="F341" t="s">
        <v>1139</v>
      </c>
      <c r="G341" t="s">
        <v>161</v>
      </c>
      <c r="H341" t="s">
        <v>100</v>
      </c>
      <c r="I341" t="s">
        <v>1149</v>
      </c>
      <c r="J341" t="s">
        <v>50</v>
      </c>
      <c r="K341">
        <v>23</v>
      </c>
      <c r="L341">
        <v>18.5</v>
      </c>
      <c r="M341">
        <v>17.100000000000001</v>
      </c>
      <c r="N341">
        <v>2414</v>
      </c>
      <c r="O341">
        <v>541</v>
      </c>
      <c r="P341">
        <v>17.100000000000001</v>
      </c>
      <c r="Q341">
        <v>164</v>
      </c>
      <c r="R341">
        <v>204</v>
      </c>
      <c r="S341">
        <v>244.6856625961104</v>
      </c>
      <c r="T341" t="s">
        <v>58</v>
      </c>
      <c r="U341">
        <v>17195</v>
      </c>
      <c r="V341">
        <v>10</v>
      </c>
      <c r="W341">
        <v>14</v>
      </c>
      <c r="X341">
        <v>2.2109999999999999</v>
      </c>
      <c r="Y341">
        <v>16.899999999999999</v>
      </c>
      <c r="Z341" t="s">
        <v>146</v>
      </c>
      <c r="AA341">
        <v>53</v>
      </c>
      <c r="AB341">
        <v>47</v>
      </c>
      <c r="AC341" t="s">
        <v>53</v>
      </c>
      <c r="AD341">
        <v>9488</v>
      </c>
      <c r="AE341">
        <v>5843</v>
      </c>
      <c r="AF341">
        <v>682.03</v>
      </c>
      <c r="AG341">
        <v>18</v>
      </c>
      <c r="AH341">
        <v>62</v>
      </c>
      <c r="AI341">
        <v>43.175027777777778</v>
      </c>
      <c r="AJ341">
        <v>22.69</v>
      </c>
      <c r="AK341">
        <v>33</v>
      </c>
      <c r="AL341">
        <v>15.2</v>
      </c>
      <c r="AM341">
        <v>611</v>
      </c>
      <c r="AN341">
        <v>56.47</v>
      </c>
      <c r="AO341">
        <v>91.86</v>
      </c>
      <c r="AP341">
        <v>16.899999999999999</v>
      </c>
      <c r="AQ341">
        <v>10</v>
      </c>
    </row>
    <row r="342" spans="1:43" x14ac:dyDescent="0.3">
      <c r="A342">
        <v>341</v>
      </c>
      <c r="B342" t="s">
        <v>1150</v>
      </c>
      <c r="C342">
        <v>2024</v>
      </c>
      <c r="D342" t="s">
        <v>1145</v>
      </c>
      <c r="E342">
        <v>18</v>
      </c>
      <c r="F342" t="s">
        <v>1139</v>
      </c>
      <c r="G342" t="s">
        <v>131</v>
      </c>
      <c r="H342" t="s">
        <v>100</v>
      </c>
      <c r="I342" t="s">
        <v>132</v>
      </c>
      <c r="J342" t="s">
        <v>50</v>
      </c>
      <c r="K342">
        <v>11.5</v>
      </c>
      <c r="L342">
        <v>5.8</v>
      </c>
      <c r="M342">
        <v>18.2</v>
      </c>
      <c r="N342">
        <v>475</v>
      </c>
      <c r="O342">
        <v>3989</v>
      </c>
      <c r="P342">
        <v>18.2</v>
      </c>
      <c r="Q342">
        <v>68</v>
      </c>
      <c r="R342">
        <v>22.4</v>
      </c>
      <c r="S342">
        <v>1.79</v>
      </c>
      <c r="T342" t="s">
        <v>58</v>
      </c>
      <c r="U342">
        <v>2990</v>
      </c>
      <c r="V342">
        <v>12</v>
      </c>
      <c r="W342">
        <v>16.174273599999999</v>
      </c>
      <c r="X342">
        <v>930</v>
      </c>
      <c r="Y342">
        <v>4.4000000000000004</v>
      </c>
      <c r="Z342" t="s">
        <v>457</v>
      </c>
      <c r="AA342">
        <v>43.863653659999997</v>
      </c>
      <c r="AB342">
        <v>56.136346340000003</v>
      </c>
      <c r="AC342" t="s">
        <v>53</v>
      </c>
      <c r="AD342">
        <v>3629</v>
      </c>
      <c r="AE342">
        <v>1162</v>
      </c>
      <c r="AF342">
        <v>1349.57</v>
      </c>
      <c r="AG342">
        <v>37</v>
      </c>
      <c r="AH342">
        <v>29</v>
      </c>
      <c r="AI342">
        <v>35.237824324324329</v>
      </c>
      <c r="AJ342">
        <v>25.61</v>
      </c>
      <c r="AK342">
        <v>22.27</v>
      </c>
      <c r="AL342">
        <v>5.48</v>
      </c>
      <c r="AM342">
        <v>611</v>
      </c>
      <c r="AN342">
        <v>56.47</v>
      </c>
      <c r="AO342">
        <v>19.88</v>
      </c>
      <c r="AP342">
        <v>4.4000000000000004</v>
      </c>
      <c r="AQ342">
        <v>12</v>
      </c>
    </row>
    <row r="343" spans="1:43" x14ac:dyDescent="0.3">
      <c r="A343">
        <v>342</v>
      </c>
      <c r="B343" t="s">
        <v>1151</v>
      </c>
      <c r="C343">
        <v>2024</v>
      </c>
      <c r="D343" t="s">
        <v>1145</v>
      </c>
      <c r="E343">
        <v>5</v>
      </c>
      <c r="F343" t="s">
        <v>1139</v>
      </c>
      <c r="G343" t="s">
        <v>653</v>
      </c>
      <c r="H343" t="s">
        <v>48</v>
      </c>
      <c r="I343" t="s">
        <v>1152</v>
      </c>
      <c r="J343" t="s">
        <v>50</v>
      </c>
      <c r="K343">
        <v>15.6</v>
      </c>
      <c r="L343">
        <v>8.6999999999999993</v>
      </c>
      <c r="M343">
        <v>18.7</v>
      </c>
      <c r="N343">
        <v>2626</v>
      </c>
      <c r="O343">
        <v>363</v>
      </c>
      <c r="P343">
        <v>18.7</v>
      </c>
      <c r="Q343">
        <v>176</v>
      </c>
      <c r="R343">
        <v>507</v>
      </c>
      <c r="S343">
        <v>166.3611365719523</v>
      </c>
      <c r="T343" t="s">
        <v>58</v>
      </c>
      <c r="U343">
        <v>20001</v>
      </c>
      <c r="V343">
        <v>13</v>
      </c>
      <c r="W343">
        <v>13</v>
      </c>
      <c r="X343">
        <v>2.1819999999999999</v>
      </c>
      <c r="Y343">
        <v>19.5</v>
      </c>
      <c r="Z343" t="s">
        <v>116</v>
      </c>
      <c r="AA343">
        <v>55</v>
      </c>
      <c r="AB343">
        <v>45</v>
      </c>
      <c r="AC343" t="s">
        <v>53</v>
      </c>
      <c r="AD343">
        <v>13448</v>
      </c>
      <c r="AE343">
        <v>8017</v>
      </c>
      <c r="AF343">
        <v>912.98</v>
      </c>
      <c r="AG343">
        <v>4</v>
      </c>
      <c r="AH343">
        <v>436</v>
      </c>
      <c r="AI343">
        <v>43.513750000000002</v>
      </c>
      <c r="AJ343">
        <v>30.85</v>
      </c>
      <c r="AK343">
        <v>40.03</v>
      </c>
      <c r="AL343">
        <v>19.28</v>
      </c>
      <c r="AM343">
        <v>611</v>
      </c>
      <c r="AN343">
        <v>56.47</v>
      </c>
      <c r="AO343">
        <v>214.02</v>
      </c>
      <c r="AP343">
        <v>19.5</v>
      </c>
      <c r="AQ343">
        <v>13</v>
      </c>
    </row>
    <row r="344" spans="1:43" x14ac:dyDescent="0.3">
      <c r="A344">
        <v>343</v>
      </c>
      <c r="B344" t="s">
        <v>1153</v>
      </c>
      <c r="C344">
        <v>2024</v>
      </c>
      <c r="D344" t="s">
        <v>1154</v>
      </c>
      <c r="E344">
        <v>7</v>
      </c>
      <c r="F344" t="s">
        <v>1139</v>
      </c>
      <c r="G344" t="s">
        <v>239</v>
      </c>
      <c r="H344" t="s">
        <v>100</v>
      </c>
      <c r="I344" t="s">
        <v>1147</v>
      </c>
      <c r="J344" t="s">
        <v>65</v>
      </c>
      <c r="K344">
        <v>5.7</v>
      </c>
      <c r="L344">
        <v>4.5999999999999996</v>
      </c>
      <c r="M344">
        <v>43</v>
      </c>
      <c r="N344">
        <v>981</v>
      </c>
      <c r="O344">
        <v>1001</v>
      </c>
      <c r="P344">
        <v>43</v>
      </c>
      <c r="Q344">
        <v>173</v>
      </c>
      <c r="R344">
        <v>314</v>
      </c>
      <c r="S344">
        <v>1.1259842519685039</v>
      </c>
      <c r="T344" t="s">
        <v>51</v>
      </c>
      <c r="U344">
        <v>7017</v>
      </c>
      <c r="V344">
        <v>5</v>
      </c>
      <c r="W344">
        <v>5</v>
      </c>
      <c r="X344">
        <v>889</v>
      </c>
      <c r="Y344">
        <v>12.3</v>
      </c>
      <c r="Z344" t="s">
        <v>59</v>
      </c>
      <c r="AA344">
        <v>51</v>
      </c>
      <c r="AB344">
        <v>49</v>
      </c>
      <c r="AC344" t="s">
        <v>53</v>
      </c>
      <c r="AD344">
        <v>5239</v>
      </c>
      <c r="AE344">
        <v>1903</v>
      </c>
      <c r="AF344">
        <v>1161.4000000000001</v>
      </c>
      <c r="AG344">
        <v>22</v>
      </c>
      <c r="AH344">
        <v>154</v>
      </c>
      <c r="AI344">
        <v>33.419431818181813</v>
      </c>
      <c r="AJ344">
        <v>25.98</v>
      </c>
      <c r="AK344">
        <v>28.31</v>
      </c>
      <c r="AL344">
        <v>8.91</v>
      </c>
      <c r="AM344">
        <v>621</v>
      </c>
      <c r="AN344">
        <v>55.75</v>
      </c>
      <c r="AO344">
        <v>151.4</v>
      </c>
      <c r="AP344">
        <v>12.3</v>
      </c>
      <c r="AQ344">
        <v>5</v>
      </c>
    </row>
    <row r="345" spans="1:43" x14ac:dyDescent="0.3">
      <c r="A345">
        <v>344</v>
      </c>
      <c r="B345" t="s">
        <v>1155</v>
      </c>
      <c r="C345">
        <v>2024</v>
      </c>
      <c r="D345" t="s">
        <v>1154</v>
      </c>
      <c r="E345">
        <v>41</v>
      </c>
      <c r="F345" t="s">
        <v>1139</v>
      </c>
      <c r="G345" t="s">
        <v>99</v>
      </c>
      <c r="H345" t="s">
        <v>100</v>
      </c>
      <c r="I345" t="s">
        <v>731</v>
      </c>
      <c r="J345" t="s">
        <v>50</v>
      </c>
      <c r="K345">
        <v>5.9</v>
      </c>
      <c r="L345">
        <v>2.5</v>
      </c>
      <c r="M345">
        <v>53.6</v>
      </c>
      <c r="N345">
        <v>6838</v>
      </c>
      <c r="O345">
        <v>898</v>
      </c>
      <c r="P345">
        <v>53.6</v>
      </c>
      <c r="Q345">
        <v>357</v>
      </c>
      <c r="R345">
        <v>326</v>
      </c>
      <c r="S345">
        <v>257.82371518805633</v>
      </c>
      <c r="T345" t="s">
        <v>96</v>
      </c>
      <c r="U345">
        <v>36797</v>
      </c>
      <c r="V345">
        <v>4</v>
      </c>
      <c r="W345">
        <v>5</v>
      </c>
      <c r="X345">
        <v>3.4830000000000001</v>
      </c>
      <c r="Y345">
        <v>14.5</v>
      </c>
      <c r="Z345" t="s">
        <v>157</v>
      </c>
      <c r="AA345">
        <v>29</v>
      </c>
      <c r="AB345">
        <v>71</v>
      </c>
      <c r="AC345" t="s">
        <v>53</v>
      </c>
      <c r="AD345">
        <v>25683</v>
      </c>
      <c r="AE345">
        <v>10299</v>
      </c>
      <c r="AF345">
        <v>616.32000000000005</v>
      </c>
      <c r="AG345">
        <v>35</v>
      </c>
      <c r="AH345">
        <v>12</v>
      </c>
      <c r="AI345">
        <v>56.538228571428569</v>
      </c>
      <c r="AJ345">
        <v>21.88</v>
      </c>
      <c r="AK345">
        <v>70.61</v>
      </c>
      <c r="AL345">
        <v>14.17</v>
      </c>
      <c r="AM345">
        <v>621</v>
      </c>
      <c r="AN345">
        <v>55.75</v>
      </c>
      <c r="AO345">
        <v>162.56</v>
      </c>
      <c r="AP345">
        <v>14.5</v>
      </c>
      <c r="AQ345">
        <v>4</v>
      </c>
    </row>
    <row r="346" spans="1:43" x14ac:dyDescent="0.3">
      <c r="A346">
        <v>345</v>
      </c>
      <c r="B346" t="s">
        <v>1156</v>
      </c>
      <c r="C346">
        <v>2024</v>
      </c>
      <c r="D346" t="s">
        <v>1154</v>
      </c>
      <c r="E346">
        <v>96</v>
      </c>
      <c r="F346" t="s">
        <v>1139</v>
      </c>
      <c r="G346" t="s">
        <v>63</v>
      </c>
      <c r="H346" t="s">
        <v>64</v>
      </c>
      <c r="I346" t="s">
        <v>1157</v>
      </c>
      <c r="J346" t="s">
        <v>65</v>
      </c>
      <c r="K346">
        <v>2.7</v>
      </c>
      <c r="L346">
        <v>2.9</v>
      </c>
      <c r="M346">
        <v>52.4</v>
      </c>
      <c r="N346">
        <v>1448</v>
      </c>
      <c r="O346">
        <v>30205</v>
      </c>
      <c r="P346">
        <v>52.4</v>
      </c>
      <c r="Q346">
        <v>190</v>
      </c>
      <c r="R346">
        <v>32.4</v>
      </c>
      <c r="S346">
        <v>2.59</v>
      </c>
      <c r="T346" t="s">
        <v>58</v>
      </c>
      <c r="U346">
        <v>6393</v>
      </c>
      <c r="V346">
        <v>30</v>
      </c>
      <c r="W346">
        <v>40</v>
      </c>
      <c r="X346">
        <v>315</v>
      </c>
      <c r="Y346">
        <v>18.600000000000001</v>
      </c>
      <c r="Z346" t="s">
        <v>526</v>
      </c>
      <c r="AA346">
        <v>29</v>
      </c>
      <c r="AB346">
        <v>71</v>
      </c>
      <c r="AC346" t="s">
        <v>53</v>
      </c>
      <c r="AD346">
        <v>5780</v>
      </c>
      <c r="AE346">
        <v>2107</v>
      </c>
      <c r="AF346">
        <v>647.61</v>
      </c>
      <c r="AG346">
        <v>98</v>
      </c>
      <c r="AH346">
        <v>2</v>
      </c>
      <c r="AI346">
        <v>56.843244897959181</v>
      </c>
      <c r="AJ346">
        <v>29.74</v>
      </c>
      <c r="AK346">
        <v>38.11</v>
      </c>
      <c r="AL346">
        <v>19.260000000000002</v>
      </c>
      <c r="AM346">
        <v>621</v>
      </c>
      <c r="AN346">
        <v>55.75</v>
      </c>
      <c r="AO346">
        <v>44.4</v>
      </c>
      <c r="AP346">
        <v>18.600000000000001</v>
      </c>
      <c r="AQ346">
        <v>30</v>
      </c>
    </row>
    <row r="347" spans="1:43" x14ac:dyDescent="0.3">
      <c r="A347">
        <v>346</v>
      </c>
      <c r="B347" t="s">
        <v>1158</v>
      </c>
      <c r="C347">
        <v>2024</v>
      </c>
      <c r="D347" t="s">
        <v>1154</v>
      </c>
      <c r="E347">
        <v>16</v>
      </c>
      <c r="F347" t="s">
        <v>1139</v>
      </c>
      <c r="G347" t="s">
        <v>481</v>
      </c>
      <c r="H347" t="s">
        <v>48</v>
      </c>
      <c r="I347" t="s">
        <v>1159</v>
      </c>
      <c r="J347" t="s">
        <v>65</v>
      </c>
      <c r="K347">
        <v>10.4</v>
      </c>
      <c r="L347">
        <v>43.7</v>
      </c>
      <c r="M347">
        <v>8.5</v>
      </c>
      <c r="N347">
        <v>3764</v>
      </c>
      <c r="O347">
        <v>9333</v>
      </c>
      <c r="P347">
        <v>8.5</v>
      </c>
      <c r="Q347">
        <v>111</v>
      </c>
      <c r="R347">
        <v>16.5</v>
      </c>
      <c r="S347">
        <v>3.78</v>
      </c>
      <c r="T347" t="s">
        <v>96</v>
      </c>
      <c r="U347">
        <v>15125</v>
      </c>
      <c r="V347">
        <v>20</v>
      </c>
      <c r="W347">
        <v>24</v>
      </c>
      <c r="X347">
        <v>963</v>
      </c>
      <c r="Y347">
        <v>22.6</v>
      </c>
      <c r="Z347" t="s">
        <v>66</v>
      </c>
      <c r="AA347">
        <v>53</v>
      </c>
      <c r="AB347">
        <v>47</v>
      </c>
      <c r="AC347" t="s">
        <v>53</v>
      </c>
      <c r="AD347">
        <v>15015</v>
      </c>
      <c r="AE347">
        <v>1668</v>
      </c>
      <c r="AF347">
        <v>906.25</v>
      </c>
      <c r="AG347">
        <v>9</v>
      </c>
      <c r="AH347">
        <v>313</v>
      </c>
      <c r="AI347">
        <v>39.444055555555551</v>
      </c>
      <c r="AJ347">
        <v>32.270000000000003</v>
      </c>
      <c r="AK347">
        <v>29.18</v>
      </c>
      <c r="AL347">
        <v>17.100000000000001</v>
      </c>
      <c r="AM347">
        <v>621</v>
      </c>
      <c r="AN347">
        <v>55.75</v>
      </c>
      <c r="AO347">
        <v>11.7</v>
      </c>
      <c r="AP347">
        <v>22.6</v>
      </c>
      <c r="AQ347">
        <v>20</v>
      </c>
    </row>
    <row r="348" spans="1:43" x14ac:dyDescent="0.3">
      <c r="A348">
        <v>347</v>
      </c>
      <c r="B348" t="s">
        <v>1160</v>
      </c>
      <c r="C348">
        <v>2024</v>
      </c>
      <c r="D348" t="s">
        <v>1154</v>
      </c>
      <c r="E348">
        <v>1</v>
      </c>
      <c r="F348" t="s">
        <v>1139</v>
      </c>
      <c r="G348" t="s">
        <v>1161</v>
      </c>
      <c r="H348" t="s">
        <v>48</v>
      </c>
      <c r="I348" t="s">
        <v>1162</v>
      </c>
      <c r="J348" t="s">
        <v>50</v>
      </c>
      <c r="K348">
        <v>20</v>
      </c>
      <c r="L348">
        <v>9.5</v>
      </c>
      <c r="M348">
        <v>6.3</v>
      </c>
      <c r="N348">
        <v>5675</v>
      </c>
      <c r="O348">
        <v>405</v>
      </c>
      <c r="P348">
        <v>6.3</v>
      </c>
      <c r="Q348">
        <v>132</v>
      </c>
      <c r="R348">
        <v>260</v>
      </c>
      <c r="S348">
        <v>101.73323285606629</v>
      </c>
      <c r="T348" t="s">
        <v>71</v>
      </c>
      <c r="U348">
        <v>40607</v>
      </c>
      <c r="V348">
        <v>9</v>
      </c>
      <c r="W348">
        <v>9</v>
      </c>
      <c r="X348">
        <v>3.9809999999999999</v>
      </c>
      <c r="Y348">
        <v>13.8</v>
      </c>
      <c r="Z348" t="s">
        <v>202</v>
      </c>
      <c r="AA348">
        <v>60</v>
      </c>
      <c r="AB348">
        <v>40</v>
      </c>
      <c r="AC348" t="s">
        <v>53</v>
      </c>
      <c r="AD348">
        <v>29542</v>
      </c>
      <c r="AE348">
        <v>7967</v>
      </c>
      <c r="AF348">
        <v>920.75</v>
      </c>
      <c r="AG348">
        <v>3</v>
      </c>
      <c r="AH348">
        <v>884</v>
      </c>
      <c r="AI348">
        <v>28.492166666666659</v>
      </c>
      <c r="AJ348">
        <v>20.04</v>
      </c>
      <c r="AK348">
        <v>16.91</v>
      </c>
      <c r="AL348">
        <v>26.75</v>
      </c>
      <c r="AM348">
        <v>621</v>
      </c>
      <c r="AN348">
        <v>55.75</v>
      </c>
      <c r="AO348">
        <v>107.78</v>
      </c>
      <c r="AP348">
        <v>13.8</v>
      </c>
      <c r="AQ348">
        <v>9</v>
      </c>
    </row>
    <row r="349" spans="1:43" x14ac:dyDescent="0.3">
      <c r="A349">
        <v>348</v>
      </c>
      <c r="B349" t="s">
        <v>1163</v>
      </c>
      <c r="C349">
        <v>2024</v>
      </c>
      <c r="D349" t="s">
        <v>1154</v>
      </c>
      <c r="E349">
        <v>8</v>
      </c>
      <c r="F349" t="s">
        <v>1139</v>
      </c>
      <c r="G349" t="s">
        <v>481</v>
      </c>
      <c r="H349" t="s">
        <v>48</v>
      </c>
      <c r="I349" t="s">
        <v>1164</v>
      </c>
      <c r="J349" t="s">
        <v>50</v>
      </c>
      <c r="K349">
        <v>19.399999999999999</v>
      </c>
      <c r="L349">
        <v>6.4</v>
      </c>
      <c r="M349">
        <v>17.399999999999999</v>
      </c>
      <c r="N349">
        <v>6076</v>
      </c>
      <c r="O349">
        <v>541</v>
      </c>
      <c r="P349">
        <v>17.399999999999999</v>
      </c>
      <c r="Q349">
        <v>214</v>
      </c>
      <c r="R349">
        <v>288</v>
      </c>
      <c r="S349">
        <v>154.57142857142861</v>
      </c>
      <c r="T349" t="s">
        <v>77</v>
      </c>
      <c r="U349">
        <v>38301</v>
      </c>
      <c r="V349">
        <v>5</v>
      </c>
      <c r="W349">
        <v>6</v>
      </c>
      <c r="X349">
        <v>3.5</v>
      </c>
      <c r="Y349">
        <v>13.8</v>
      </c>
      <c r="Z349" t="s">
        <v>146</v>
      </c>
      <c r="AA349">
        <v>56</v>
      </c>
      <c r="AB349">
        <v>44</v>
      </c>
      <c r="AC349" t="s">
        <v>53</v>
      </c>
      <c r="AD349">
        <v>23203</v>
      </c>
      <c r="AE349">
        <v>16076</v>
      </c>
      <c r="AF349">
        <v>906.25</v>
      </c>
      <c r="AG349">
        <v>9</v>
      </c>
      <c r="AH349">
        <v>313</v>
      </c>
      <c r="AI349">
        <v>39.444055555555551</v>
      </c>
      <c r="AJ349">
        <v>32.270000000000003</v>
      </c>
      <c r="AK349">
        <v>29.18</v>
      </c>
      <c r="AL349">
        <v>17.100000000000001</v>
      </c>
      <c r="AM349">
        <v>621</v>
      </c>
      <c r="AN349">
        <v>55.75</v>
      </c>
      <c r="AO349">
        <v>125.64</v>
      </c>
      <c r="AP349">
        <v>13.8</v>
      </c>
      <c r="AQ349">
        <v>5</v>
      </c>
    </row>
    <row r="350" spans="1:43" x14ac:dyDescent="0.3">
      <c r="A350">
        <v>349</v>
      </c>
      <c r="B350" t="s">
        <v>1165</v>
      </c>
      <c r="C350">
        <v>2024</v>
      </c>
      <c r="D350" t="s">
        <v>1154</v>
      </c>
      <c r="E350">
        <v>47</v>
      </c>
      <c r="F350" t="s">
        <v>1139</v>
      </c>
      <c r="G350" t="s">
        <v>99</v>
      </c>
      <c r="H350" t="s">
        <v>100</v>
      </c>
      <c r="I350" t="s">
        <v>99</v>
      </c>
      <c r="J350" t="s">
        <v>50</v>
      </c>
      <c r="K350">
        <v>5.4</v>
      </c>
      <c r="L350">
        <v>19.7</v>
      </c>
      <c r="M350">
        <v>65.599999999999994</v>
      </c>
      <c r="N350">
        <v>9435</v>
      </c>
      <c r="O350">
        <v>1001</v>
      </c>
      <c r="P350">
        <v>65.599999999999994</v>
      </c>
      <c r="Q350">
        <v>426</v>
      </c>
      <c r="R350">
        <v>346</v>
      </c>
      <c r="S350">
        <v>3.31</v>
      </c>
      <c r="T350" t="s">
        <v>96</v>
      </c>
      <c r="U350">
        <v>74052</v>
      </c>
      <c r="V350">
        <v>4</v>
      </c>
      <c r="W350">
        <v>25.762632150000002</v>
      </c>
      <c r="X350">
        <v>2851</v>
      </c>
      <c r="Y350">
        <v>15.6</v>
      </c>
      <c r="Z350" t="s">
        <v>52</v>
      </c>
      <c r="AA350">
        <v>43.322877599999998</v>
      </c>
      <c r="AB350">
        <v>56.677122400000002</v>
      </c>
      <c r="AC350" t="s">
        <v>53</v>
      </c>
      <c r="AD350">
        <v>23670</v>
      </c>
      <c r="AE350">
        <v>20627</v>
      </c>
      <c r="AF350">
        <v>616.32000000000005</v>
      </c>
      <c r="AG350">
        <v>35</v>
      </c>
      <c r="AH350">
        <v>12</v>
      </c>
      <c r="AI350">
        <v>56.538228571428569</v>
      </c>
      <c r="AJ350">
        <v>21.88</v>
      </c>
      <c r="AK350">
        <v>70.61</v>
      </c>
      <c r="AL350">
        <v>14.17</v>
      </c>
      <c r="AM350">
        <v>621</v>
      </c>
      <c r="AN350">
        <v>55.75</v>
      </c>
      <c r="AO350">
        <v>177.76</v>
      </c>
      <c r="AP350">
        <v>15.6</v>
      </c>
      <c r="AQ350">
        <v>4</v>
      </c>
    </row>
    <row r="351" spans="1:43" x14ac:dyDescent="0.3">
      <c r="A351">
        <v>350</v>
      </c>
      <c r="B351" t="s">
        <v>1166</v>
      </c>
      <c r="C351">
        <v>2024</v>
      </c>
      <c r="D351" t="s">
        <v>1167</v>
      </c>
      <c r="E351">
        <v>141</v>
      </c>
      <c r="F351" t="s">
        <v>1139</v>
      </c>
      <c r="G351" t="s">
        <v>63</v>
      </c>
      <c r="H351" t="s">
        <v>64</v>
      </c>
      <c r="I351" t="s">
        <v>1168</v>
      </c>
      <c r="J351" t="s">
        <v>65</v>
      </c>
      <c r="K351">
        <v>20.5</v>
      </c>
      <c r="L351">
        <v>12.9</v>
      </c>
      <c r="M351">
        <v>21.5</v>
      </c>
      <c r="N351">
        <v>3125</v>
      </c>
      <c r="O351">
        <v>363</v>
      </c>
      <c r="P351">
        <v>21.5</v>
      </c>
      <c r="Q351">
        <v>136</v>
      </c>
      <c r="R351">
        <v>813</v>
      </c>
      <c r="S351">
        <v>346.37404580152668</v>
      </c>
      <c r="T351" t="s">
        <v>58</v>
      </c>
      <c r="U351">
        <v>13156</v>
      </c>
      <c r="V351">
        <v>10</v>
      </c>
      <c r="W351">
        <v>13</v>
      </c>
      <c r="X351">
        <v>1.048</v>
      </c>
      <c r="Y351">
        <v>14.9</v>
      </c>
      <c r="Z351" t="s">
        <v>146</v>
      </c>
      <c r="AA351">
        <v>55</v>
      </c>
      <c r="AB351">
        <v>45</v>
      </c>
      <c r="AC351" t="s">
        <v>53</v>
      </c>
      <c r="AD351">
        <v>8984</v>
      </c>
      <c r="AE351">
        <v>4005</v>
      </c>
      <c r="AF351">
        <v>647.61</v>
      </c>
      <c r="AG351">
        <v>98</v>
      </c>
      <c r="AH351">
        <v>2</v>
      </c>
      <c r="AI351">
        <v>56.843244897959181</v>
      </c>
      <c r="AJ351">
        <v>29.74</v>
      </c>
      <c r="AK351">
        <v>38.11</v>
      </c>
      <c r="AL351">
        <v>19.260000000000002</v>
      </c>
      <c r="AM351">
        <v>631</v>
      </c>
      <c r="AN351">
        <v>55.04</v>
      </c>
      <c r="AO351">
        <v>338.1</v>
      </c>
      <c r="AP351">
        <v>14.9</v>
      </c>
      <c r="AQ351">
        <v>10</v>
      </c>
    </row>
    <row r="352" spans="1:43" x14ac:dyDescent="0.3">
      <c r="A352">
        <v>351</v>
      </c>
      <c r="B352" t="s">
        <v>1169</v>
      </c>
      <c r="C352">
        <v>2024</v>
      </c>
      <c r="D352" t="s">
        <v>1167</v>
      </c>
      <c r="E352">
        <v>3</v>
      </c>
      <c r="F352" t="s">
        <v>1139</v>
      </c>
      <c r="G352" t="s">
        <v>642</v>
      </c>
      <c r="H352" t="s">
        <v>48</v>
      </c>
      <c r="I352" t="s">
        <v>1170</v>
      </c>
      <c r="J352" t="s">
        <v>50</v>
      </c>
      <c r="K352">
        <v>15</v>
      </c>
      <c r="L352">
        <v>17.899999999999999</v>
      </c>
      <c r="M352">
        <v>8.6</v>
      </c>
      <c r="N352">
        <v>5320</v>
      </c>
      <c r="O352">
        <v>405</v>
      </c>
      <c r="P352">
        <v>8.6</v>
      </c>
      <c r="Q352">
        <v>132</v>
      </c>
      <c r="R352">
        <v>690</v>
      </c>
      <c r="S352">
        <v>224.1283895960155</v>
      </c>
      <c r="T352" t="s">
        <v>51</v>
      </c>
      <c r="U352">
        <v>19474</v>
      </c>
      <c r="V352">
        <v>14</v>
      </c>
      <c r="W352">
        <v>13</v>
      </c>
      <c r="X352">
        <v>1.8069999999999999</v>
      </c>
      <c r="Y352">
        <v>15.2</v>
      </c>
      <c r="Z352" t="s">
        <v>859</v>
      </c>
      <c r="AA352">
        <v>68</v>
      </c>
      <c r="AB352">
        <v>32</v>
      </c>
      <c r="AC352" t="s">
        <v>53</v>
      </c>
      <c r="AD352">
        <v>14609</v>
      </c>
      <c r="AE352">
        <v>4955</v>
      </c>
      <c r="AF352">
        <v>1055.02</v>
      </c>
      <c r="AG352">
        <v>11</v>
      </c>
      <c r="AH352">
        <v>459</v>
      </c>
      <c r="AI352">
        <v>29.911909090909091</v>
      </c>
      <c r="AJ352">
        <v>21.19</v>
      </c>
      <c r="AK352">
        <v>18.600000000000001</v>
      </c>
      <c r="AL352">
        <v>18.350000000000001</v>
      </c>
      <c r="AM352">
        <v>631</v>
      </c>
      <c r="AN352">
        <v>55.04</v>
      </c>
      <c r="AO352">
        <v>281.16000000000003</v>
      </c>
      <c r="AP352">
        <v>15.2</v>
      </c>
      <c r="AQ352">
        <v>14</v>
      </c>
    </row>
    <row r="353" spans="1:43" x14ac:dyDescent="0.3">
      <c r="A353">
        <v>352</v>
      </c>
      <c r="B353" t="s">
        <v>1171</v>
      </c>
      <c r="C353">
        <v>2024</v>
      </c>
      <c r="D353" t="s">
        <v>1167</v>
      </c>
      <c r="E353">
        <v>52</v>
      </c>
      <c r="F353" t="s">
        <v>1139</v>
      </c>
      <c r="G353" t="s">
        <v>131</v>
      </c>
      <c r="H353" t="s">
        <v>100</v>
      </c>
      <c r="I353" t="s">
        <v>177</v>
      </c>
      <c r="J353" t="s">
        <v>65</v>
      </c>
      <c r="K353">
        <v>15.2</v>
      </c>
      <c r="L353">
        <v>68.400000000000006</v>
      </c>
      <c r="M353">
        <v>3.8</v>
      </c>
      <c r="N353">
        <v>3030</v>
      </c>
      <c r="O353">
        <v>541</v>
      </c>
      <c r="P353">
        <v>3.8</v>
      </c>
      <c r="Q353">
        <v>80</v>
      </c>
      <c r="R353">
        <v>1001</v>
      </c>
      <c r="S353">
        <v>258.2338902147971</v>
      </c>
      <c r="T353" t="s">
        <v>96</v>
      </c>
      <c r="U353">
        <v>35119</v>
      </c>
      <c r="V353">
        <v>10</v>
      </c>
      <c r="W353">
        <v>10</v>
      </c>
      <c r="X353">
        <v>2.0950000000000002</v>
      </c>
      <c r="Y353">
        <v>17.399999999999999</v>
      </c>
      <c r="Z353" t="s">
        <v>152</v>
      </c>
      <c r="AA353">
        <v>37</v>
      </c>
      <c r="AB353">
        <v>63</v>
      </c>
      <c r="AC353" t="s">
        <v>53</v>
      </c>
      <c r="AD353">
        <v>22745</v>
      </c>
      <c r="AE353">
        <v>13174</v>
      </c>
      <c r="AF353">
        <v>1349.57</v>
      </c>
      <c r="AG353">
        <v>37</v>
      </c>
      <c r="AH353">
        <v>29</v>
      </c>
      <c r="AI353">
        <v>35.237824324324329</v>
      </c>
      <c r="AJ353">
        <v>25.61</v>
      </c>
      <c r="AK353">
        <v>22.27</v>
      </c>
      <c r="AL353">
        <v>5.48</v>
      </c>
      <c r="AM353">
        <v>631</v>
      </c>
      <c r="AN353">
        <v>55.04</v>
      </c>
      <c r="AO353">
        <v>402.68</v>
      </c>
      <c r="AP353">
        <v>17.399999999999999</v>
      </c>
      <c r="AQ353">
        <v>10</v>
      </c>
    </row>
    <row r="354" spans="1:43" x14ac:dyDescent="0.3">
      <c r="A354">
        <v>353</v>
      </c>
      <c r="B354" t="s">
        <v>1172</v>
      </c>
      <c r="C354">
        <v>2024</v>
      </c>
      <c r="D354" t="s">
        <v>1173</v>
      </c>
      <c r="E354">
        <v>19</v>
      </c>
      <c r="F354" t="s">
        <v>1139</v>
      </c>
      <c r="G354" t="s">
        <v>286</v>
      </c>
      <c r="H354" t="s">
        <v>48</v>
      </c>
      <c r="I354" t="s">
        <v>1174</v>
      </c>
      <c r="J354" t="s">
        <v>50</v>
      </c>
      <c r="K354">
        <v>10.6</v>
      </c>
      <c r="L354">
        <v>3.5</v>
      </c>
      <c r="M354">
        <v>1.8</v>
      </c>
      <c r="N354">
        <v>5089</v>
      </c>
      <c r="O354">
        <v>4810</v>
      </c>
      <c r="P354">
        <v>1.8</v>
      </c>
      <c r="Q354">
        <v>75</v>
      </c>
      <c r="R354">
        <v>8.1999999999999993</v>
      </c>
      <c r="S354">
        <v>2.7</v>
      </c>
      <c r="T354" t="s">
        <v>71</v>
      </c>
      <c r="U354">
        <v>15631</v>
      </c>
      <c r="V354">
        <v>21</v>
      </c>
      <c r="W354">
        <v>21</v>
      </c>
      <c r="X354">
        <v>2.2679999999999998</v>
      </c>
      <c r="Y354">
        <v>12.9</v>
      </c>
      <c r="Z354" t="s">
        <v>82</v>
      </c>
      <c r="AA354">
        <v>59</v>
      </c>
      <c r="AB354">
        <v>41</v>
      </c>
      <c r="AC354" t="s">
        <v>53</v>
      </c>
      <c r="AD354">
        <v>10347</v>
      </c>
      <c r="AE354">
        <v>7707</v>
      </c>
      <c r="AF354">
        <v>1470.93</v>
      </c>
      <c r="AG354">
        <v>24</v>
      </c>
      <c r="AH354">
        <v>95</v>
      </c>
      <c r="AI354">
        <v>29.87127083333333</v>
      </c>
      <c r="AJ354">
        <v>18.23</v>
      </c>
      <c r="AK354">
        <v>14.05</v>
      </c>
      <c r="AL354">
        <v>16.72</v>
      </c>
      <c r="AM354">
        <v>641</v>
      </c>
      <c r="AN354">
        <v>54.32</v>
      </c>
      <c r="AO354">
        <v>4.3600000000000003</v>
      </c>
      <c r="AP354">
        <v>12.9</v>
      </c>
      <c r="AQ354">
        <v>21</v>
      </c>
    </row>
    <row r="355" spans="1:43" x14ac:dyDescent="0.3">
      <c r="A355">
        <v>354</v>
      </c>
      <c r="B355" t="s">
        <v>1175</v>
      </c>
      <c r="C355">
        <v>2024</v>
      </c>
      <c r="D355" t="s">
        <v>1173</v>
      </c>
      <c r="E355">
        <v>23</v>
      </c>
      <c r="F355" t="s">
        <v>1139</v>
      </c>
      <c r="G355" t="s">
        <v>384</v>
      </c>
      <c r="H355" t="s">
        <v>48</v>
      </c>
      <c r="I355" t="s">
        <v>1176</v>
      </c>
      <c r="J355" t="s">
        <v>50</v>
      </c>
      <c r="K355">
        <v>5</v>
      </c>
      <c r="L355">
        <v>1.5</v>
      </c>
      <c r="M355">
        <v>47.6</v>
      </c>
      <c r="N355">
        <v>768</v>
      </c>
      <c r="O355">
        <v>7898</v>
      </c>
      <c r="P355">
        <v>47.6</v>
      </c>
      <c r="Q355">
        <v>95</v>
      </c>
      <c r="R355">
        <v>51.6</v>
      </c>
      <c r="S355">
        <v>3.08</v>
      </c>
      <c r="T355" t="s">
        <v>58</v>
      </c>
      <c r="U355">
        <v>4244</v>
      </c>
      <c r="V355">
        <v>14</v>
      </c>
      <c r="W355">
        <v>17</v>
      </c>
      <c r="X355">
        <v>279</v>
      </c>
      <c r="Y355">
        <v>10.7</v>
      </c>
      <c r="Z355" t="s">
        <v>358</v>
      </c>
      <c r="AA355">
        <v>65</v>
      </c>
      <c r="AB355">
        <v>35</v>
      </c>
      <c r="AC355" t="s">
        <v>53</v>
      </c>
      <c r="AD355">
        <v>3595</v>
      </c>
      <c r="AE355">
        <v>437</v>
      </c>
      <c r="AF355">
        <v>644.77</v>
      </c>
      <c r="AG355">
        <v>18</v>
      </c>
      <c r="AH355">
        <v>181</v>
      </c>
      <c r="AI355">
        <v>47.393000000000001</v>
      </c>
      <c r="AJ355">
        <v>35.17</v>
      </c>
      <c r="AK355">
        <v>47.49</v>
      </c>
      <c r="AL355">
        <v>13.04</v>
      </c>
      <c r="AM355">
        <v>641</v>
      </c>
      <c r="AN355">
        <v>54.32</v>
      </c>
      <c r="AO355">
        <v>49.2</v>
      </c>
      <c r="AP355">
        <v>10.7</v>
      </c>
      <c r="AQ355">
        <v>14</v>
      </c>
    </row>
    <row r="356" spans="1:43" x14ac:dyDescent="0.3">
      <c r="A356">
        <v>355</v>
      </c>
      <c r="B356" t="s">
        <v>1177</v>
      </c>
      <c r="C356">
        <v>2024</v>
      </c>
      <c r="D356" t="s">
        <v>1173</v>
      </c>
      <c r="E356">
        <v>22</v>
      </c>
      <c r="F356" t="s">
        <v>1139</v>
      </c>
      <c r="G356" t="s">
        <v>114</v>
      </c>
      <c r="H356" t="s">
        <v>64</v>
      </c>
      <c r="I356" t="s">
        <v>1178</v>
      </c>
      <c r="J356" t="s">
        <v>50</v>
      </c>
      <c r="K356">
        <v>7</v>
      </c>
      <c r="L356">
        <v>4.5999999999999996</v>
      </c>
      <c r="M356">
        <v>28.5</v>
      </c>
      <c r="N356">
        <v>3071</v>
      </c>
      <c r="O356">
        <v>460</v>
      </c>
      <c r="P356">
        <v>28.5</v>
      </c>
      <c r="Q356">
        <v>213</v>
      </c>
      <c r="R356">
        <v>662</v>
      </c>
      <c r="S356">
        <v>422.40587695133149</v>
      </c>
      <c r="T356" t="s">
        <v>96</v>
      </c>
      <c r="U356">
        <v>16318</v>
      </c>
      <c r="V356">
        <v>23</v>
      </c>
      <c r="W356">
        <v>29</v>
      </c>
      <c r="X356">
        <v>1.089</v>
      </c>
      <c r="Y356">
        <v>15.1</v>
      </c>
      <c r="Z356" t="s">
        <v>146</v>
      </c>
      <c r="AA356">
        <v>54</v>
      </c>
      <c r="AB356">
        <v>46</v>
      </c>
      <c r="AC356" t="s">
        <v>53</v>
      </c>
      <c r="AD356">
        <v>9596</v>
      </c>
      <c r="AE356">
        <v>6780</v>
      </c>
      <c r="AF356">
        <v>559.59</v>
      </c>
      <c r="AG356">
        <v>23</v>
      </c>
      <c r="AH356">
        <v>21</v>
      </c>
      <c r="AI356">
        <v>55.883456521739127</v>
      </c>
      <c r="AJ356">
        <v>36.42</v>
      </c>
      <c r="AK356">
        <v>48.16</v>
      </c>
      <c r="AL356">
        <v>22.85</v>
      </c>
      <c r="AM356">
        <v>641</v>
      </c>
      <c r="AN356">
        <v>54.32</v>
      </c>
      <c r="AO356">
        <v>281.89999999999998</v>
      </c>
      <c r="AP356">
        <v>15.1</v>
      </c>
      <c r="AQ356">
        <v>23</v>
      </c>
    </row>
    <row r="357" spans="1:43" x14ac:dyDescent="0.3">
      <c r="A357">
        <v>356</v>
      </c>
      <c r="B357" t="s">
        <v>1179</v>
      </c>
      <c r="C357">
        <v>2024</v>
      </c>
      <c r="D357" t="s">
        <v>1173</v>
      </c>
      <c r="E357">
        <v>46</v>
      </c>
      <c r="F357" t="s">
        <v>1139</v>
      </c>
      <c r="G357" t="s">
        <v>63</v>
      </c>
      <c r="H357" t="s">
        <v>64</v>
      </c>
      <c r="I357" t="s">
        <v>1180</v>
      </c>
      <c r="J357" t="s">
        <v>65</v>
      </c>
      <c r="K357">
        <v>15.9</v>
      </c>
      <c r="L357">
        <v>14.9</v>
      </c>
      <c r="M357">
        <v>2.8</v>
      </c>
      <c r="N357">
        <v>1692</v>
      </c>
      <c r="O357">
        <v>15360</v>
      </c>
      <c r="P357">
        <v>2.8</v>
      </c>
      <c r="Q357">
        <v>114</v>
      </c>
      <c r="R357">
        <v>31.8</v>
      </c>
      <c r="S357">
        <v>2.33</v>
      </c>
      <c r="T357" t="s">
        <v>51</v>
      </c>
      <c r="U357">
        <v>8644</v>
      </c>
      <c r="V357">
        <v>34</v>
      </c>
      <c r="W357">
        <v>38</v>
      </c>
      <c r="X357">
        <v>1.087</v>
      </c>
      <c r="Y357">
        <v>9.3000000000000007</v>
      </c>
      <c r="Z357" t="s">
        <v>1181</v>
      </c>
      <c r="AA357">
        <v>75</v>
      </c>
      <c r="AB357">
        <v>25</v>
      </c>
      <c r="AC357" t="s">
        <v>53</v>
      </c>
      <c r="AD357">
        <v>7046</v>
      </c>
      <c r="AE357">
        <v>2490</v>
      </c>
      <c r="AF357">
        <v>755.8</v>
      </c>
      <c r="AG357">
        <v>98</v>
      </c>
      <c r="AH357">
        <v>2</v>
      </c>
      <c r="AI357">
        <v>56.843244897959181</v>
      </c>
      <c r="AJ357">
        <v>42.15</v>
      </c>
      <c r="AK357">
        <v>43.47</v>
      </c>
      <c r="AL357">
        <v>9.93</v>
      </c>
      <c r="AM357">
        <v>641</v>
      </c>
      <c r="AN357">
        <v>54.32</v>
      </c>
      <c r="AO357">
        <v>14.4</v>
      </c>
      <c r="AP357">
        <v>9.3000000000000007</v>
      </c>
      <c r="AQ357">
        <v>34</v>
      </c>
    </row>
    <row r="358" spans="1:43" x14ac:dyDescent="0.3">
      <c r="A358">
        <v>357</v>
      </c>
      <c r="B358" t="s">
        <v>1182</v>
      </c>
      <c r="C358">
        <v>2024</v>
      </c>
      <c r="D358" t="s">
        <v>1173</v>
      </c>
      <c r="E358">
        <v>57</v>
      </c>
      <c r="F358" t="s">
        <v>1139</v>
      </c>
      <c r="G358" t="s">
        <v>47</v>
      </c>
      <c r="H358" t="s">
        <v>48</v>
      </c>
      <c r="I358" t="s">
        <v>1183</v>
      </c>
      <c r="J358" t="s">
        <v>50</v>
      </c>
      <c r="K358">
        <v>8.6999999999999993</v>
      </c>
      <c r="L358">
        <v>7.3</v>
      </c>
      <c r="M358">
        <v>18.100000000000001</v>
      </c>
      <c r="N358">
        <v>3167</v>
      </c>
      <c r="O358">
        <v>24412</v>
      </c>
      <c r="P358">
        <v>18.100000000000001</v>
      </c>
      <c r="Q358">
        <v>149</v>
      </c>
      <c r="R358">
        <v>27.2</v>
      </c>
      <c r="S358">
        <v>3.47</v>
      </c>
      <c r="T358" t="s">
        <v>51</v>
      </c>
      <c r="U358">
        <v>8970</v>
      </c>
      <c r="V358">
        <v>31</v>
      </c>
      <c r="W358">
        <v>47</v>
      </c>
      <c r="X358">
        <v>500</v>
      </c>
      <c r="Y358">
        <v>19.5</v>
      </c>
      <c r="Z358" t="s">
        <v>457</v>
      </c>
      <c r="AA358">
        <v>56</v>
      </c>
      <c r="AB358">
        <v>44</v>
      </c>
      <c r="AC358" t="s">
        <v>53</v>
      </c>
      <c r="AD358">
        <v>8035</v>
      </c>
      <c r="AE358">
        <v>3740</v>
      </c>
      <c r="AF358">
        <v>614.48</v>
      </c>
      <c r="AG358">
        <v>69</v>
      </c>
      <c r="AH358">
        <v>1</v>
      </c>
      <c r="AI358">
        <v>50.817340579710141</v>
      </c>
      <c r="AJ358">
        <v>35.82</v>
      </c>
      <c r="AK358">
        <v>38.92</v>
      </c>
      <c r="AL358">
        <v>35.29</v>
      </c>
      <c r="AM358">
        <v>641</v>
      </c>
      <c r="AN358">
        <v>54.32</v>
      </c>
      <c r="AO358">
        <v>21.74</v>
      </c>
      <c r="AP358">
        <v>19.5</v>
      </c>
      <c r="AQ358">
        <v>31</v>
      </c>
    </row>
    <row r="359" spans="1:43" x14ac:dyDescent="0.3">
      <c r="A359">
        <v>358</v>
      </c>
      <c r="B359" t="s">
        <v>1184</v>
      </c>
      <c r="C359">
        <v>2024</v>
      </c>
      <c r="D359" t="s">
        <v>1173</v>
      </c>
      <c r="E359">
        <v>103</v>
      </c>
      <c r="F359" t="s">
        <v>1139</v>
      </c>
      <c r="G359" t="s">
        <v>63</v>
      </c>
      <c r="H359" t="s">
        <v>64</v>
      </c>
      <c r="I359" t="s">
        <v>443</v>
      </c>
      <c r="J359" t="s">
        <v>50</v>
      </c>
      <c r="K359">
        <v>13.9</v>
      </c>
      <c r="L359">
        <v>10.9</v>
      </c>
      <c r="M359">
        <v>34</v>
      </c>
      <c r="N359">
        <v>12952</v>
      </c>
      <c r="O359">
        <v>275</v>
      </c>
      <c r="P359">
        <v>34</v>
      </c>
      <c r="Q359">
        <v>221</v>
      </c>
      <c r="R359">
        <v>358</v>
      </c>
      <c r="S359">
        <v>161.5746180963572</v>
      </c>
      <c r="T359" t="s">
        <v>51</v>
      </c>
      <c r="U359">
        <v>47963</v>
      </c>
      <c r="V359">
        <v>7</v>
      </c>
      <c r="W359">
        <v>16</v>
      </c>
      <c r="X359">
        <v>1.702</v>
      </c>
      <c r="Y359">
        <v>26.3</v>
      </c>
      <c r="Z359" t="s">
        <v>185</v>
      </c>
      <c r="AA359">
        <v>53</v>
      </c>
      <c r="AB359">
        <v>47</v>
      </c>
      <c r="AC359" t="s">
        <v>53</v>
      </c>
      <c r="AD359">
        <v>26859</v>
      </c>
      <c r="AE359">
        <v>19410</v>
      </c>
      <c r="AF359">
        <v>647.61</v>
      </c>
      <c r="AG359">
        <v>98</v>
      </c>
      <c r="AH359">
        <v>2</v>
      </c>
      <c r="AI359">
        <v>56.843244897959181</v>
      </c>
      <c r="AJ359">
        <v>29.74</v>
      </c>
      <c r="AK359">
        <v>38.11</v>
      </c>
      <c r="AL359">
        <v>19.260000000000002</v>
      </c>
      <c r="AM359">
        <v>641</v>
      </c>
      <c r="AN359">
        <v>54.32</v>
      </c>
      <c r="AO359">
        <v>163.6</v>
      </c>
      <c r="AP359">
        <v>26.3</v>
      </c>
      <c r="AQ359">
        <v>7</v>
      </c>
    </row>
    <row r="360" spans="1:43" x14ac:dyDescent="0.3">
      <c r="A360">
        <v>359</v>
      </c>
      <c r="B360" t="s">
        <v>1185</v>
      </c>
      <c r="C360">
        <v>2024</v>
      </c>
      <c r="D360" t="s">
        <v>1173</v>
      </c>
      <c r="E360">
        <v>22</v>
      </c>
      <c r="F360" t="s">
        <v>1139</v>
      </c>
      <c r="G360" t="s">
        <v>384</v>
      </c>
      <c r="H360" t="s">
        <v>48</v>
      </c>
      <c r="I360" t="s">
        <v>1186</v>
      </c>
      <c r="J360" t="s">
        <v>50</v>
      </c>
      <c r="K360">
        <v>8.6999999999999993</v>
      </c>
      <c r="L360">
        <v>3.2</v>
      </c>
      <c r="M360">
        <v>50.3</v>
      </c>
      <c r="N360">
        <v>2620</v>
      </c>
      <c r="O360">
        <v>275</v>
      </c>
      <c r="P360">
        <v>50.3</v>
      </c>
      <c r="Q360">
        <v>186</v>
      </c>
      <c r="R360">
        <v>523</v>
      </c>
      <c r="S360">
        <v>0.40204678362573099</v>
      </c>
      <c r="T360" t="s">
        <v>58</v>
      </c>
      <c r="U360">
        <v>21836</v>
      </c>
      <c r="V360">
        <v>5</v>
      </c>
      <c r="W360">
        <v>4</v>
      </c>
      <c r="X360">
        <v>684</v>
      </c>
      <c r="Y360">
        <v>27</v>
      </c>
      <c r="Z360" t="s">
        <v>87</v>
      </c>
      <c r="AA360">
        <v>54</v>
      </c>
      <c r="AB360">
        <v>46</v>
      </c>
      <c r="AC360" t="s">
        <v>53</v>
      </c>
      <c r="AD360">
        <v>10933</v>
      </c>
      <c r="AE360">
        <v>7546</v>
      </c>
      <c r="AF360">
        <v>644.77</v>
      </c>
      <c r="AG360">
        <v>18</v>
      </c>
      <c r="AH360">
        <v>181</v>
      </c>
      <c r="AI360">
        <v>47.393000000000001</v>
      </c>
      <c r="AJ360">
        <v>35.17</v>
      </c>
      <c r="AK360">
        <v>47.49</v>
      </c>
      <c r="AL360">
        <v>13.04</v>
      </c>
      <c r="AM360">
        <v>641</v>
      </c>
      <c r="AN360">
        <v>54.32</v>
      </c>
      <c r="AO360">
        <v>239.38</v>
      </c>
      <c r="AP360">
        <v>27</v>
      </c>
      <c r="AQ360">
        <v>5</v>
      </c>
    </row>
    <row r="361" spans="1:43" x14ac:dyDescent="0.3">
      <c r="A361">
        <v>360</v>
      </c>
      <c r="B361" t="s">
        <v>1187</v>
      </c>
      <c r="C361">
        <v>2024</v>
      </c>
      <c r="D361" t="s">
        <v>1173</v>
      </c>
      <c r="E361">
        <v>28</v>
      </c>
      <c r="F361" t="s">
        <v>1139</v>
      </c>
      <c r="G361" t="s">
        <v>114</v>
      </c>
      <c r="H361" t="s">
        <v>64</v>
      </c>
      <c r="I361" t="s">
        <v>1188</v>
      </c>
      <c r="J361" t="s">
        <v>50</v>
      </c>
      <c r="K361">
        <v>3.6</v>
      </c>
      <c r="L361">
        <v>4.8</v>
      </c>
      <c r="M361">
        <v>33.1</v>
      </c>
      <c r="N361">
        <v>5418</v>
      </c>
      <c r="O361">
        <v>1001</v>
      </c>
      <c r="P361">
        <v>33.1</v>
      </c>
      <c r="Q361">
        <v>253</v>
      </c>
      <c r="R361">
        <v>933</v>
      </c>
      <c r="S361">
        <v>3.0990712074303399</v>
      </c>
      <c r="T361" t="s">
        <v>58</v>
      </c>
      <c r="U361">
        <v>14849</v>
      </c>
      <c r="V361">
        <v>35</v>
      </c>
      <c r="W361">
        <v>36</v>
      </c>
      <c r="X361">
        <v>323</v>
      </c>
      <c r="Y361">
        <v>34.1</v>
      </c>
      <c r="Z361" t="s">
        <v>133</v>
      </c>
      <c r="AA361">
        <v>50.197537529999998</v>
      </c>
      <c r="AB361">
        <v>49.802462470000002</v>
      </c>
      <c r="AC361" t="s">
        <v>53</v>
      </c>
      <c r="AD361">
        <v>8468</v>
      </c>
      <c r="AE361">
        <v>6464</v>
      </c>
      <c r="AF361">
        <v>559.59</v>
      </c>
      <c r="AG361">
        <v>23</v>
      </c>
      <c r="AH361">
        <v>21</v>
      </c>
      <c r="AI361">
        <v>55.883456521739127</v>
      </c>
      <c r="AJ361">
        <v>36.42</v>
      </c>
      <c r="AK361">
        <v>48.16</v>
      </c>
      <c r="AL361">
        <v>22.85</v>
      </c>
      <c r="AM361">
        <v>641</v>
      </c>
      <c r="AN361">
        <v>54.32</v>
      </c>
      <c r="AO361">
        <v>393.06</v>
      </c>
      <c r="AP361">
        <v>34.1</v>
      </c>
      <c r="AQ361">
        <v>35</v>
      </c>
    </row>
    <row r="362" spans="1:43" x14ac:dyDescent="0.3">
      <c r="A362">
        <v>361</v>
      </c>
      <c r="B362" t="s">
        <v>1189</v>
      </c>
      <c r="C362">
        <v>2024</v>
      </c>
      <c r="D362" t="s">
        <v>1190</v>
      </c>
      <c r="E362">
        <v>8</v>
      </c>
      <c r="F362" t="s">
        <v>1139</v>
      </c>
      <c r="G362" t="s">
        <v>775</v>
      </c>
      <c r="H362" t="s">
        <v>100</v>
      </c>
      <c r="I362" t="s">
        <v>776</v>
      </c>
      <c r="J362" t="s">
        <v>50</v>
      </c>
      <c r="K362">
        <v>10.4</v>
      </c>
      <c r="L362">
        <v>29.2</v>
      </c>
      <c r="M362">
        <v>13.9</v>
      </c>
      <c r="N362">
        <v>4909</v>
      </c>
      <c r="O362">
        <v>63170</v>
      </c>
      <c r="P362">
        <v>13.9</v>
      </c>
      <c r="Q362">
        <v>238</v>
      </c>
      <c r="R362">
        <v>26.9</v>
      </c>
      <c r="S362">
        <v>2.4500000000000002</v>
      </c>
      <c r="T362" t="s">
        <v>77</v>
      </c>
      <c r="U362">
        <v>34323</v>
      </c>
      <c r="V362">
        <v>1</v>
      </c>
      <c r="W362">
        <v>1</v>
      </c>
      <c r="X362">
        <v>2264</v>
      </c>
      <c r="Y362">
        <v>16</v>
      </c>
      <c r="Z362" t="s">
        <v>78</v>
      </c>
      <c r="AA362">
        <v>39</v>
      </c>
      <c r="AB362">
        <v>61</v>
      </c>
      <c r="AC362" t="s">
        <v>53</v>
      </c>
      <c r="AD362">
        <v>22961</v>
      </c>
      <c r="AE362">
        <v>10232</v>
      </c>
      <c r="AF362">
        <v>1036.01</v>
      </c>
      <c r="AG362">
        <v>6</v>
      </c>
      <c r="AH362">
        <v>486</v>
      </c>
      <c r="AI362">
        <v>33.59258333333333</v>
      </c>
      <c r="AJ362">
        <v>26.97</v>
      </c>
      <c r="AK362">
        <v>32.47</v>
      </c>
      <c r="AL362">
        <v>4.6900000000000004</v>
      </c>
      <c r="AM362">
        <v>651</v>
      </c>
      <c r="AN362">
        <v>53.61</v>
      </c>
      <c r="AO362">
        <v>19.100000000000001</v>
      </c>
      <c r="AP362">
        <v>16</v>
      </c>
      <c r="AQ362">
        <v>1</v>
      </c>
    </row>
    <row r="363" spans="1:43" x14ac:dyDescent="0.3">
      <c r="A363">
        <v>362</v>
      </c>
      <c r="B363" t="s">
        <v>1191</v>
      </c>
      <c r="C363">
        <v>2024</v>
      </c>
      <c r="D363" t="s">
        <v>1190</v>
      </c>
      <c r="E363">
        <v>7</v>
      </c>
      <c r="F363" t="s">
        <v>1139</v>
      </c>
      <c r="G363" t="s">
        <v>568</v>
      </c>
      <c r="H363" t="s">
        <v>100</v>
      </c>
      <c r="I363" t="s">
        <v>1192</v>
      </c>
      <c r="J363" t="s">
        <v>50</v>
      </c>
      <c r="K363">
        <v>13.1</v>
      </c>
      <c r="L363">
        <v>7.4</v>
      </c>
      <c r="M363">
        <v>30.1</v>
      </c>
      <c r="N363">
        <v>2125</v>
      </c>
      <c r="O363">
        <v>898</v>
      </c>
      <c r="P363">
        <v>30.1</v>
      </c>
      <c r="Q363">
        <v>239</v>
      </c>
      <c r="R363">
        <v>619</v>
      </c>
      <c r="S363">
        <v>453.99393326592519</v>
      </c>
      <c r="T363" t="s">
        <v>96</v>
      </c>
      <c r="U363">
        <v>17353</v>
      </c>
      <c r="V363">
        <v>3</v>
      </c>
      <c r="W363">
        <v>3</v>
      </c>
      <c r="X363">
        <v>1.978</v>
      </c>
      <c r="Y363">
        <v>18.399999999999999</v>
      </c>
      <c r="Z363" t="s">
        <v>368</v>
      </c>
      <c r="AA363">
        <v>66</v>
      </c>
      <c r="AB363">
        <v>34</v>
      </c>
      <c r="AC363" t="s">
        <v>53</v>
      </c>
      <c r="AD363">
        <v>12350</v>
      </c>
      <c r="AE363">
        <v>3947</v>
      </c>
      <c r="AF363">
        <v>610.79999999999995</v>
      </c>
      <c r="AG363">
        <v>3</v>
      </c>
      <c r="AH363">
        <v>209</v>
      </c>
      <c r="AI363">
        <v>47.237666666666662</v>
      </c>
      <c r="AJ363">
        <v>30</v>
      </c>
      <c r="AK363">
        <v>49.3</v>
      </c>
      <c r="AL363">
        <v>10.72</v>
      </c>
      <c r="AM363">
        <v>651</v>
      </c>
      <c r="AN363">
        <v>53.61</v>
      </c>
      <c r="AO363">
        <v>265.66000000000003</v>
      </c>
      <c r="AP363">
        <v>18.399999999999999</v>
      </c>
      <c r="AQ363">
        <v>3</v>
      </c>
    </row>
    <row r="364" spans="1:43" x14ac:dyDescent="0.3">
      <c r="A364">
        <v>363</v>
      </c>
      <c r="B364" t="s">
        <v>1193</v>
      </c>
      <c r="C364">
        <v>2024</v>
      </c>
      <c r="D364" t="s">
        <v>1190</v>
      </c>
      <c r="E364">
        <v>49</v>
      </c>
      <c r="F364" t="s">
        <v>1139</v>
      </c>
      <c r="G364" t="s">
        <v>150</v>
      </c>
      <c r="H364" t="s">
        <v>48</v>
      </c>
      <c r="I364" t="s">
        <v>1194</v>
      </c>
      <c r="J364" t="s">
        <v>50</v>
      </c>
      <c r="K364">
        <v>9.8000000000000007</v>
      </c>
      <c r="L364">
        <v>5.3</v>
      </c>
      <c r="M364">
        <v>39.4</v>
      </c>
      <c r="N364">
        <v>1527</v>
      </c>
      <c r="O364">
        <v>541</v>
      </c>
      <c r="P364">
        <v>39.4</v>
      </c>
      <c r="Q364">
        <v>182</v>
      </c>
      <c r="R364">
        <v>877</v>
      </c>
      <c r="S364">
        <v>1.349127182044888</v>
      </c>
      <c r="T364" t="s">
        <v>58</v>
      </c>
      <c r="U364">
        <v>8369</v>
      </c>
      <c r="V364">
        <v>14</v>
      </c>
      <c r="W364">
        <v>15</v>
      </c>
      <c r="X364">
        <v>401</v>
      </c>
      <c r="Y364">
        <v>37.700000000000003</v>
      </c>
      <c r="Z364" t="s">
        <v>457</v>
      </c>
      <c r="AA364">
        <v>57</v>
      </c>
      <c r="AB364">
        <v>43</v>
      </c>
      <c r="AC364" t="s">
        <v>53</v>
      </c>
      <c r="AD364">
        <v>5566</v>
      </c>
      <c r="AE364">
        <v>2914</v>
      </c>
      <c r="AF364">
        <v>409.72</v>
      </c>
      <c r="AG364">
        <v>9</v>
      </c>
      <c r="AH364">
        <v>31</v>
      </c>
      <c r="AI364">
        <v>59.471888888888877</v>
      </c>
      <c r="AJ364">
        <v>45.16</v>
      </c>
      <c r="AK364">
        <v>47.76</v>
      </c>
      <c r="AL364">
        <v>22.4</v>
      </c>
      <c r="AM364">
        <v>651</v>
      </c>
      <c r="AN364">
        <v>53.61</v>
      </c>
      <c r="AO364">
        <v>374.44</v>
      </c>
      <c r="AP364">
        <v>37.700000000000003</v>
      </c>
      <c r="AQ364">
        <v>14</v>
      </c>
    </row>
    <row r="365" spans="1:43" x14ac:dyDescent="0.3">
      <c r="A365">
        <v>364</v>
      </c>
      <c r="B365" t="s">
        <v>1195</v>
      </c>
      <c r="C365">
        <v>2024</v>
      </c>
      <c r="D365" t="s">
        <v>1196</v>
      </c>
      <c r="E365">
        <v>59</v>
      </c>
      <c r="F365" t="s">
        <v>1139</v>
      </c>
      <c r="G365" t="s">
        <v>47</v>
      </c>
      <c r="H365" t="s">
        <v>48</v>
      </c>
      <c r="I365" t="s">
        <v>1197</v>
      </c>
      <c r="J365" t="s">
        <v>50</v>
      </c>
      <c r="K365">
        <v>9.5</v>
      </c>
      <c r="L365">
        <v>6.4</v>
      </c>
      <c r="M365">
        <v>23.5</v>
      </c>
      <c r="N365">
        <v>1027</v>
      </c>
      <c r="O365">
        <v>673</v>
      </c>
      <c r="P365">
        <v>23.5</v>
      </c>
      <c r="Q365">
        <v>88</v>
      </c>
      <c r="R365">
        <v>1001</v>
      </c>
      <c r="S365">
        <v>1.304263565891473</v>
      </c>
      <c r="T365" t="s">
        <v>96</v>
      </c>
      <c r="U365">
        <v>6180</v>
      </c>
      <c r="V365">
        <v>23</v>
      </c>
      <c r="W365">
        <v>21</v>
      </c>
      <c r="X365">
        <v>516</v>
      </c>
      <c r="Y365">
        <v>15.6</v>
      </c>
      <c r="Z365" t="s">
        <v>66</v>
      </c>
      <c r="AA365">
        <v>52</v>
      </c>
      <c r="AB365">
        <v>48</v>
      </c>
      <c r="AC365" t="s">
        <v>53</v>
      </c>
      <c r="AD365">
        <v>4591</v>
      </c>
      <c r="AE365">
        <v>1739</v>
      </c>
      <c r="AF365">
        <v>614.48</v>
      </c>
      <c r="AG365">
        <v>69</v>
      </c>
      <c r="AH365">
        <v>1</v>
      </c>
      <c r="AI365">
        <v>50.817340579710141</v>
      </c>
      <c r="AJ365">
        <v>35.82</v>
      </c>
      <c r="AK365">
        <v>38.92</v>
      </c>
      <c r="AL365">
        <v>35.29</v>
      </c>
      <c r="AM365">
        <v>661</v>
      </c>
      <c r="AN365">
        <v>52.89</v>
      </c>
      <c r="AO365">
        <v>414.5</v>
      </c>
      <c r="AP365">
        <v>15.6</v>
      </c>
      <c r="AQ365">
        <v>23</v>
      </c>
    </row>
    <row r="366" spans="1:43" x14ac:dyDescent="0.3">
      <c r="A366">
        <v>365</v>
      </c>
      <c r="B366" t="s">
        <v>1198</v>
      </c>
      <c r="C366">
        <v>2024</v>
      </c>
      <c r="D366" t="s">
        <v>1196</v>
      </c>
      <c r="E366">
        <v>90</v>
      </c>
      <c r="F366" t="s">
        <v>1139</v>
      </c>
      <c r="G366" t="s">
        <v>63</v>
      </c>
      <c r="H366" t="s">
        <v>64</v>
      </c>
      <c r="I366" t="s">
        <v>1199</v>
      </c>
      <c r="J366" t="s">
        <v>65</v>
      </c>
      <c r="K366">
        <v>9.8000000000000007</v>
      </c>
      <c r="L366">
        <v>4.3</v>
      </c>
      <c r="M366">
        <v>16.3</v>
      </c>
      <c r="N366">
        <v>2652</v>
      </c>
      <c r="O366">
        <v>405</v>
      </c>
      <c r="P366">
        <v>16.3</v>
      </c>
      <c r="Q366">
        <v>79</v>
      </c>
      <c r="R366">
        <v>948</v>
      </c>
      <c r="S366">
        <v>0.66284779050736498</v>
      </c>
      <c r="T366" t="s">
        <v>58</v>
      </c>
      <c r="U366">
        <v>4791</v>
      </c>
      <c r="V366">
        <v>33</v>
      </c>
      <c r="W366">
        <v>34</v>
      </c>
      <c r="X366">
        <v>611</v>
      </c>
      <c r="Y366">
        <v>11.6</v>
      </c>
      <c r="Z366" t="s">
        <v>82</v>
      </c>
      <c r="AA366">
        <v>56</v>
      </c>
      <c r="AB366">
        <v>44</v>
      </c>
      <c r="AC366" t="s">
        <v>53</v>
      </c>
      <c r="AD366">
        <v>4389</v>
      </c>
      <c r="AE366">
        <v>560</v>
      </c>
      <c r="AF366">
        <v>647.61</v>
      </c>
      <c r="AG366">
        <v>98</v>
      </c>
      <c r="AH366">
        <v>2</v>
      </c>
      <c r="AI366">
        <v>56.843244897959181</v>
      </c>
      <c r="AJ366">
        <v>29.74</v>
      </c>
      <c r="AK366">
        <v>38.11</v>
      </c>
      <c r="AL366">
        <v>19.260000000000002</v>
      </c>
      <c r="AM366">
        <v>661</v>
      </c>
      <c r="AN366">
        <v>52.89</v>
      </c>
      <c r="AO366">
        <v>388.98</v>
      </c>
      <c r="AP366">
        <v>11.6</v>
      </c>
      <c r="AQ366">
        <v>33</v>
      </c>
    </row>
    <row r="367" spans="1:43" x14ac:dyDescent="0.3">
      <c r="A367">
        <v>366</v>
      </c>
      <c r="B367" t="s">
        <v>1200</v>
      </c>
      <c r="C367">
        <v>2024</v>
      </c>
      <c r="D367" t="s">
        <v>1196</v>
      </c>
      <c r="E367">
        <v>3</v>
      </c>
      <c r="F367" t="s">
        <v>1139</v>
      </c>
      <c r="G367" t="s">
        <v>1113</v>
      </c>
      <c r="H367" t="s">
        <v>100</v>
      </c>
      <c r="I367" t="s">
        <v>1201</v>
      </c>
      <c r="J367" t="s">
        <v>65</v>
      </c>
      <c r="K367">
        <v>10.5</v>
      </c>
      <c r="L367">
        <v>28.2</v>
      </c>
      <c r="M367">
        <v>3.2</v>
      </c>
      <c r="N367">
        <v>1668</v>
      </c>
      <c r="O367">
        <v>4561</v>
      </c>
      <c r="P367">
        <v>3.2</v>
      </c>
      <c r="Q367">
        <v>62</v>
      </c>
      <c r="R367">
        <v>15.4</v>
      </c>
      <c r="S367">
        <v>3.51</v>
      </c>
      <c r="T367" t="s">
        <v>77</v>
      </c>
      <c r="U367">
        <v>7100</v>
      </c>
      <c r="V367">
        <v>17</v>
      </c>
      <c r="W367">
        <v>13</v>
      </c>
      <c r="X367">
        <v>692</v>
      </c>
      <c r="Y367">
        <v>10.1</v>
      </c>
      <c r="Z367" t="s">
        <v>185</v>
      </c>
      <c r="AA367">
        <v>52</v>
      </c>
      <c r="AB367">
        <v>48</v>
      </c>
      <c r="AC367" t="s">
        <v>53</v>
      </c>
      <c r="AD367">
        <v>6315</v>
      </c>
      <c r="AE367">
        <v>1291</v>
      </c>
      <c r="AF367">
        <v>818.7</v>
      </c>
      <c r="AG367">
        <v>2</v>
      </c>
      <c r="AH367">
        <v>591</v>
      </c>
      <c r="AI367">
        <v>37.521250000000002</v>
      </c>
      <c r="AJ367">
        <v>19.260000000000002</v>
      </c>
      <c r="AK367">
        <v>10.220000000000001</v>
      </c>
      <c r="AL367">
        <v>20.399999999999999</v>
      </c>
      <c r="AM367">
        <v>661</v>
      </c>
      <c r="AN367">
        <v>52.89</v>
      </c>
      <c r="AO367">
        <v>8.08</v>
      </c>
      <c r="AP367">
        <v>10.1</v>
      </c>
      <c r="AQ367">
        <v>17</v>
      </c>
    </row>
    <row r="368" spans="1:43" x14ac:dyDescent="0.3">
      <c r="A368">
        <v>367</v>
      </c>
      <c r="B368" t="s">
        <v>1202</v>
      </c>
      <c r="C368">
        <v>2024</v>
      </c>
      <c r="D368" t="s">
        <v>1196</v>
      </c>
      <c r="E368">
        <v>80</v>
      </c>
      <c r="F368" t="s">
        <v>1139</v>
      </c>
      <c r="G368" t="s">
        <v>47</v>
      </c>
      <c r="H368" t="s">
        <v>48</v>
      </c>
      <c r="I368" t="s">
        <v>76</v>
      </c>
      <c r="J368" t="s">
        <v>50</v>
      </c>
      <c r="K368">
        <v>5.6</v>
      </c>
      <c r="L368">
        <v>4.8</v>
      </c>
      <c r="M368">
        <v>14.3</v>
      </c>
      <c r="N368">
        <v>2443</v>
      </c>
      <c r="O368">
        <v>11028</v>
      </c>
      <c r="P368">
        <v>14.3</v>
      </c>
      <c r="Q368">
        <v>77</v>
      </c>
      <c r="R368">
        <v>10.9</v>
      </c>
      <c r="S368">
        <v>2.48</v>
      </c>
      <c r="T368" t="s">
        <v>71</v>
      </c>
      <c r="U368">
        <v>15545</v>
      </c>
      <c r="V368">
        <v>50</v>
      </c>
      <c r="W368">
        <v>49</v>
      </c>
      <c r="X368">
        <v>943</v>
      </c>
      <c r="Y368">
        <v>18.3</v>
      </c>
      <c r="Z368" t="s">
        <v>82</v>
      </c>
      <c r="AA368">
        <v>59</v>
      </c>
      <c r="AB368">
        <v>41</v>
      </c>
      <c r="AC368" t="s">
        <v>53</v>
      </c>
      <c r="AD368">
        <v>8296</v>
      </c>
      <c r="AE368">
        <v>6564</v>
      </c>
      <c r="AF368">
        <v>614.48</v>
      </c>
      <c r="AG368">
        <v>69</v>
      </c>
      <c r="AH368">
        <v>1</v>
      </c>
      <c r="AI368">
        <v>50.817340579710141</v>
      </c>
      <c r="AJ368">
        <v>35.82</v>
      </c>
      <c r="AK368">
        <v>38.92</v>
      </c>
      <c r="AL368">
        <v>35.29</v>
      </c>
      <c r="AM368">
        <v>661</v>
      </c>
      <c r="AN368">
        <v>52.89</v>
      </c>
      <c r="AO368">
        <v>12.94</v>
      </c>
      <c r="AP368">
        <v>18.3</v>
      </c>
      <c r="AQ368">
        <v>50</v>
      </c>
    </row>
    <row r="369" spans="1:43" x14ac:dyDescent="0.3">
      <c r="A369">
        <v>368</v>
      </c>
      <c r="B369" t="s">
        <v>1203</v>
      </c>
      <c r="C369">
        <v>2024</v>
      </c>
      <c r="D369" t="s">
        <v>1196</v>
      </c>
      <c r="E369">
        <v>8</v>
      </c>
      <c r="F369" t="s">
        <v>1139</v>
      </c>
      <c r="G369" t="s">
        <v>239</v>
      </c>
      <c r="H369" t="s">
        <v>100</v>
      </c>
      <c r="I369" t="s">
        <v>1204</v>
      </c>
      <c r="J369" t="s">
        <v>50</v>
      </c>
      <c r="K369">
        <v>20.2</v>
      </c>
      <c r="L369">
        <v>24.1</v>
      </c>
      <c r="M369">
        <v>11.8</v>
      </c>
      <c r="N369">
        <v>1055</v>
      </c>
      <c r="O369">
        <v>541</v>
      </c>
      <c r="P369">
        <v>11.8</v>
      </c>
      <c r="Q369">
        <v>116</v>
      </c>
      <c r="R369">
        <v>467</v>
      </c>
      <c r="S369">
        <v>506.55430711610478</v>
      </c>
      <c r="T369" t="s">
        <v>96</v>
      </c>
      <c r="U369">
        <v>14394</v>
      </c>
      <c r="V369">
        <v>6</v>
      </c>
      <c r="W369">
        <v>9</v>
      </c>
      <c r="X369">
        <v>1.0680000000000001</v>
      </c>
      <c r="Y369">
        <v>15.5</v>
      </c>
      <c r="Z369" t="s">
        <v>78</v>
      </c>
      <c r="AA369">
        <v>43</v>
      </c>
      <c r="AB369">
        <v>57</v>
      </c>
      <c r="AC369" t="s">
        <v>53</v>
      </c>
      <c r="AD369">
        <v>8870</v>
      </c>
      <c r="AE369">
        <v>7286</v>
      </c>
      <c r="AF369">
        <v>1161.4000000000001</v>
      </c>
      <c r="AG369">
        <v>22</v>
      </c>
      <c r="AH369">
        <v>154</v>
      </c>
      <c r="AI369">
        <v>33.419431818181813</v>
      </c>
      <c r="AJ369">
        <v>25.98</v>
      </c>
      <c r="AK369">
        <v>28.31</v>
      </c>
      <c r="AL369">
        <v>8.91</v>
      </c>
      <c r="AM369">
        <v>661</v>
      </c>
      <c r="AN369">
        <v>52.89</v>
      </c>
      <c r="AO369">
        <v>193.88</v>
      </c>
      <c r="AP369">
        <v>15.5</v>
      </c>
      <c r="AQ369">
        <v>6</v>
      </c>
    </row>
    <row r="370" spans="1:43" x14ac:dyDescent="0.3">
      <c r="A370">
        <v>369</v>
      </c>
      <c r="B370" t="s">
        <v>1205</v>
      </c>
      <c r="C370">
        <v>2024</v>
      </c>
      <c r="D370" t="s">
        <v>1196</v>
      </c>
      <c r="E370">
        <v>16</v>
      </c>
      <c r="F370" t="s">
        <v>1139</v>
      </c>
      <c r="G370" t="s">
        <v>532</v>
      </c>
      <c r="H370" t="s">
        <v>100</v>
      </c>
      <c r="I370" t="s">
        <v>532</v>
      </c>
      <c r="J370" t="s">
        <v>50</v>
      </c>
      <c r="K370">
        <v>16.600000000000001</v>
      </c>
      <c r="L370">
        <v>16.5</v>
      </c>
      <c r="M370">
        <v>1.9</v>
      </c>
      <c r="N370">
        <v>2587</v>
      </c>
      <c r="O370">
        <v>3669</v>
      </c>
      <c r="P370">
        <v>1.9</v>
      </c>
      <c r="Q370">
        <v>53</v>
      </c>
      <c r="R370">
        <v>12.8</v>
      </c>
      <c r="S370">
        <v>2.0299999999999998</v>
      </c>
      <c r="T370" t="s">
        <v>58</v>
      </c>
      <c r="U370">
        <v>22552</v>
      </c>
      <c r="V370">
        <v>17</v>
      </c>
      <c r="W370">
        <v>12</v>
      </c>
      <c r="X370">
        <v>2.3239999999999998</v>
      </c>
      <c r="Y370">
        <v>12.1</v>
      </c>
      <c r="Z370" t="s">
        <v>1035</v>
      </c>
      <c r="AA370">
        <v>100</v>
      </c>
      <c r="AB370">
        <v>0</v>
      </c>
      <c r="AC370" t="s">
        <v>53</v>
      </c>
      <c r="AD370">
        <v>13283</v>
      </c>
      <c r="AE370">
        <v>6732</v>
      </c>
      <c r="AF370">
        <v>788.07</v>
      </c>
      <c r="AG370">
        <v>9</v>
      </c>
      <c r="AH370">
        <v>424</v>
      </c>
      <c r="AI370">
        <v>39.266333333333343</v>
      </c>
      <c r="AJ370">
        <v>28.29</v>
      </c>
      <c r="AK370">
        <v>30.02</v>
      </c>
      <c r="AL370">
        <v>13.2</v>
      </c>
      <c r="AM370">
        <v>661</v>
      </c>
      <c r="AN370">
        <v>52.89</v>
      </c>
      <c r="AO370">
        <v>6.26</v>
      </c>
      <c r="AP370">
        <v>12.1</v>
      </c>
      <c r="AQ370">
        <v>17</v>
      </c>
    </row>
    <row r="371" spans="1:43" x14ac:dyDescent="0.3">
      <c r="A371">
        <v>370</v>
      </c>
      <c r="B371" t="s">
        <v>1206</v>
      </c>
      <c r="C371">
        <v>2024</v>
      </c>
      <c r="D371" t="s">
        <v>1196</v>
      </c>
      <c r="E371">
        <v>30</v>
      </c>
      <c r="F371" t="s">
        <v>1139</v>
      </c>
      <c r="G371" t="s">
        <v>131</v>
      </c>
      <c r="H371" t="s">
        <v>100</v>
      </c>
      <c r="I371" t="s">
        <v>1207</v>
      </c>
      <c r="J371" t="s">
        <v>65</v>
      </c>
      <c r="K371">
        <v>11</v>
      </c>
      <c r="L371">
        <v>54.8</v>
      </c>
      <c r="M371">
        <v>11.7</v>
      </c>
      <c r="N371">
        <v>5407</v>
      </c>
      <c r="O371">
        <v>1001</v>
      </c>
      <c r="P371">
        <v>11.7</v>
      </c>
      <c r="Q371">
        <v>153</v>
      </c>
      <c r="R371">
        <v>597</v>
      </c>
      <c r="S371">
        <v>881.16197183098598</v>
      </c>
      <c r="T371" t="s">
        <v>96</v>
      </c>
      <c r="U371">
        <v>17662</v>
      </c>
      <c r="V371">
        <v>4</v>
      </c>
      <c r="W371">
        <v>4</v>
      </c>
      <c r="X371">
        <v>1.1359999999999999</v>
      </c>
      <c r="Y371">
        <v>24</v>
      </c>
      <c r="Z371" t="s">
        <v>157</v>
      </c>
      <c r="AA371">
        <v>25</v>
      </c>
      <c r="AB371">
        <v>75</v>
      </c>
      <c r="AC371" t="s">
        <v>53</v>
      </c>
      <c r="AD371">
        <v>12260</v>
      </c>
      <c r="AE371">
        <v>5742</v>
      </c>
      <c r="AF371">
        <v>1349.57</v>
      </c>
      <c r="AG371">
        <v>37</v>
      </c>
      <c r="AH371">
        <v>29</v>
      </c>
      <c r="AI371">
        <v>35.237824324324329</v>
      </c>
      <c r="AJ371">
        <v>25.61</v>
      </c>
      <c r="AK371">
        <v>22.27</v>
      </c>
      <c r="AL371">
        <v>5.48</v>
      </c>
      <c r="AM371">
        <v>661</v>
      </c>
      <c r="AN371">
        <v>52.89</v>
      </c>
      <c r="AO371">
        <v>245.82</v>
      </c>
      <c r="AP371">
        <v>24</v>
      </c>
      <c r="AQ371">
        <v>4</v>
      </c>
    </row>
    <row r="372" spans="1:43" x14ac:dyDescent="0.3">
      <c r="A372">
        <v>371</v>
      </c>
      <c r="B372" t="s">
        <v>1208</v>
      </c>
      <c r="C372">
        <v>2024</v>
      </c>
      <c r="D372" t="s">
        <v>1196</v>
      </c>
      <c r="E372">
        <v>3</v>
      </c>
      <c r="F372" t="s">
        <v>1139</v>
      </c>
      <c r="G372" t="s">
        <v>1209</v>
      </c>
      <c r="H372" t="s">
        <v>1210</v>
      </c>
      <c r="I372" t="s">
        <v>1211</v>
      </c>
      <c r="J372" t="s">
        <v>65</v>
      </c>
      <c r="K372">
        <v>8.6999999999999993</v>
      </c>
      <c r="L372">
        <v>22</v>
      </c>
      <c r="M372">
        <v>1.2</v>
      </c>
      <c r="N372">
        <v>3541</v>
      </c>
      <c r="O372">
        <v>1858</v>
      </c>
      <c r="P372">
        <v>1.2</v>
      </c>
      <c r="Q372">
        <v>44</v>
      </c>
      <c r="R372">
        <v>8.8000000000000007</v>
      </c>
      <c r="S372">
        <v>2.06</v>
      </c>
      <c r="T372" t="s">
        <v>77</v>
      </c>
      <c r="U372">
        <v>15469</v>
      </c>
      <c r="V372">
        <v>2</v>
      </c>
      <c r="W372">
        <v>2</v>
      </c>
      <c r="X372">
        <v>1.7509999999999999</v>
      </c>
      <c r="Y372">
        <v>7.8</v>
      </c>
      <c r="Z372" t="s">
        <v>52</v>
      </c>
      <c r="AA372">
        <v>51</v>
      </c>
      <c r="AB372">
        <v>49</v>
      </c>
      <c r="AC372" t="s">
        <v>53</v>
      </c>
      <c r="AD372">
        <v>11051</v>
      </c>
      <c r="AE372">
        <v>6090</v>
      </c>
      <c r="AF372">
        <v>1402.96</v>
      </c>
      <c r="AG372">
        <v>3</v>
      </c>
      <c r="AH372">
        <v>1741</v>
      </c>
      <c r="AI372">
        <v>16.540166666666661</v>
      </c>
      <c r="AJ372">
        <v>21.31</v>
      </c>
      <c r="AK372">
        <v>8.9600000000000009</v>
      </c>
      <c r="AL372">
        <v>11.19</v>
      </c>
      <c r="AM372">
        <v>661</v>
      </c>
      <c r="AN372">
        <v>52.89</v>
      </c>
      <c r="AO372">
        <v>4.24</v>
      </c>
      <c r="AP372">
        <v>7.8</v>
      </c>
      <c r="AQ372">
        <v>2</v>
      </c>
    </row>
    <row r="373" spans="1:43" x14ac:dyDescent="0.3">
      <c r="A373">
        <v>372</v>
      </c>
      <c r="B373" t="s">
        <v>1212</v>
      </c>
      <c r="C373">
        <v>2024</v>
      </c>
      <c r="D373" t="s">
        <v>1196</v>
      </c>
      <c r="E373">
        <v>7</v>
      </c>
      <c r="F373" t="s">
        <v>1139</v>
      </c>
      <c r="G373" t="s">
        <v>706</v>
      </c>
      <c r="H373" t="s">
        <v>100</v>
      </c>
      <c r="I373" t="s">
        <v>707</v>
      </c>
      <c r="J373" t="s">
        <v>50</v>
      </c>
      <c r="K373">
        <v>16.8</v>
      </c>
      <c r="L373">
        <v>34</v>
      </c>
      <c r="M373">
        <v>1.4</v>
      </c>
      <c r="N373">
        <v>7126</v>
      </c>
      <c r="O373">
        <v>2770</v>
      </c>
      <c r="P373">
        <v>1.4</v>
      </c>
      <c r="Q373">
        <v>44</v>
      </c>
      <c r="R373">
        <v>16</v>
      </c>
      <c r="S373">
        <v>2.57</v>
      </c>
      <c r="T373" t="s">
        <v>77</v>
      </c>
      <c r="U373">
        <v>35498</v>
      </c>
      <c r="V373">
        <v>1</v>
      </c>
      <c r="W373">
        <v>5</v>
      </c>
      <c r="X373">
        <v>3.1160000000000001</v>
      </c>
      <c r="Y373">
        <v>11.3</v>
      </c>
      <c r="Z373" t="s">
        <v>82</v>
      </c>
      <c r="AA373">
        <v>61</v>
      </c>
      <c r="AB373">
        <v>39</v>
      </c>
      <c r="AC373" t="s">
        <v>53</v>
      </c>
      <c r="AD373">
        <v>23939</v>
      </c>
      <c r="AE373">
        <v>8562</v>
      </c>
      <c r="AF373">
        <v>1323.15</v>
      </c>
      <c r="AG373">
        <v>11</v>
      </c>
      <c r="AH373">
        <v>1332</v>
      </c>
      <c r="AI373">
        <v>21.125681818181821</v>
      </c>
      <c r="AJ373">
        <v>23.15</v>
      </c>
      <c r="AK373">
        <v>10.65</v>
      </c>
      <c r="AL373">
        <v>6.33</v>
      </c>
      <c r="AM373">
        <v>661</v>
      </c>
      <c r="AN373">
        <v>52.89</v>
      </c>
      <c r="AO373">
        <v>7.24</v>
      </c>
      <c r="AP373">
        <v>11.3</v>
      </c>
      <c r="AQ373">
        <v>1</v>
      </c>
    </row>
    <row r="374" spans="1:43" x14ac:dyDescent="0.3">
      <c r="A374">
        <v>373</v>
      </c>
      <c r="B374" t="s">
        <v>1213</v>
      </c>
      <c r="C374">
        <v>2024</v>
      </c>
      <c r="D374" t="s">
        <v>1214</v>
      </c>
      <c r="E374">
        <v>21</v>
      </c>
      <c r="F374" t="s">
        <v>1139</v>
      </c>
      <c r="G374" t="s">
        <v>114</v>
      </c>
      <c r="H374" t="s">
        <v>64</v>
      </c>
      <c r="I374" t="s">
        <v>535</v>
      </c>
      <c r="J374" t="s">
        <v>50</v>
      </c>
      <c r="K374">
        <v>10.9</v>
      </c>
      <c r="L374">
        <v>13.9</v>
      </c>
      <c r="M374">
        <v>21.8</v>
      </c>
      <c r="N374">
        <v>7440</v>
      </c>
      <c r="O374">
        <v>405</v>
      </c>
      <c r="P374">
        <v>21.8</v>
      </c>
      <c r="Q374">
        <v>127</v>
      </c>
      <c r="R374">
        <v>548</v>
      </c>
      <c r="S374">
        <v>0.43130990415335457</v>
      </c>
      <c r="T374" t="s">
        <v>96</v>
      </c>
      <c r="U374">
        <v>29656</v>
      </c>
      <c r="V374">
        <v>21</v>
      </c>
      <c r="W374">
        <v>22</v>
      </c>
      <c r="X374">
        <v>939</v>
      </c>
      <c r="Y374">
        <v>29.4</v>
      </c>
      <c r="Z374" t="s">
        <v>133</v>
      </c>
      <c r="AA374">
        <v>49</v>
      </c>
      <c r="AB374">
        <v>51</v>
      </c>
      <c r="AC374" t="s">
        <v>53</v>
      </c>
      <c r="AD374">
        <v>18771</v>
      </c>
      <c r="AE374">
        <v>8841</v>
      </c>
      <c r="AF374">
        <v>559.59</v>
      </c>
      <c r="AG374">
        <v>23</v>
      </c>
      <c r="AH374">
        <v>21</v>
      </c>
      <c r="AI374">
        <v>55.883456521739127</v>
      </c>
      <c r="AJ374">
        <v>36.42</v>
      </c>
      <c r="AK374">
        <v>48.16</v>
      </c>
      <c r="AL374">
        <v>22.85</v>
      </c>
      <c r="AM374">
        <v>671</v>
      </c>
      <c r="AN374">
        <v>52.18</v>
      </c>
      <c r="AO374">
        <v>232.28</v>
      </c>
      <c r="AP374">
        <v>29.4</v>
      </c>
      <c r="AQ374">
        <v>21</v>
      </c>
    </row>
    <row r="375" spans="1:43" x14ac:dyDescent="0.3">
      <c r="A375">
        <v>374</v>
      </c>
      <c r="B375" t="s">
        <v>1215</v>
      </c>
      <c r="C375">
        <v>2024</v>
      </c>
      <c r="D375" t="s">
        <v>1214</v>
      </c>
      <c r="E375">
        <v>3</v>
      </c>
      <c r="F375" t="s">
        <v>1139</v>
      </c>
      <c r="G375" t="s">
        <v>1142</v>
      </c>
      <c r="H375" t="s">
        <v>48</v>
      </c>
      <c r="I375" t="s">
        <v>1216</v>
      </c>
      <c r="J375" t="s">
        <v>50</v>
      </c>
      <c r="K375">
        <v>17.3</v>
      </c>
      <c r="L375">
        <v>10.3</v>
      </c>
      <c r="M375">
        <v>3.7</v>
      </c>
      <c r="N375">
        <v>2908</v>
      </c>
      <c r="O375">
        <v>541</v>
      </c>
      <c r="P375">
        <v>3.7</v>
      </c>
      <c r="Q375">
        <v>104</v>
      </c>
      <c r="R375">
        <v>696</v>
      </c>
      <c r="S375">
        <v>269.02038786673302</v>
      </c>
      <c r="T375" t="s">
        <v>77</v>
      </c>
      <c r="U375">
        <v>19964</v>
      </c>
      <c r="V375">
        <v>24</v>
      </c>
      <c r="W375">
        <v>25</v>
      </c>
      <c r="X375">
        <v>2.0110000000000001</v>
      </c>
      <c r="Y375">
        <v>12</v>
      </c>
      <c r="Z375" t="s">
        <v>116</v>
      </c>
      <c r="AA375">
        <v>56</v>
      </c>
      <c r="AB375">
        <v>44</v>
      </c>
      <c r="AC375" t="s">
        <v>53</v>
      </c>
      <c r="AD375">
        <v>15051</v>
      </c>
      <c r="AE375">
        <v>5872</v>
      </c>
      <c r="AF375">
        <v>969.17</v>
      </c>
      <c r="AG375">
        <v>8</v>
      </c>
      <c r="AH375">
        <v>779</v>
      </c>
      <c r="AI375">
        <v>28.816500000000001</v>
      </c>
      <c r="AJ375">
        <v>22.44</v>
      </c>
      <c r="AK375">
        <v>17.559999999999999</v>
      </c>
      <c r="AL375">
        <v>17.809999999999999</v>
      </c>
      <c r="AM375">
        <v>671</v>
      </c>
      <c r="AN375">
        <v>52.18</v>
      </c>
      <c r="AO375">
        <v>280.62</v>
      </c>
      <c r="AP375">
        <v>12</v>
      </c>
      <c r="AQ375">
        <v>24</v>
      </c>
    </row>
    <row r="376" spans="1:43" x14ac:dyDescent="0.3">
      <c r="A376">
        <v>375</v>
      </c>
      <c r="B376" t="s">
        <v>1217</v>
      </c>
      <c r="C376">
        <v>2024</v>
      </c>
      <c r="D376" t="s">
        <v>1214</v>
      </c>
      <c r="E376">
        <v>80</v>
      </c>
      <c r="F376" t="s">
        <v>1139</v>
      </c>
      <c r="G376" t="s">
        <v>47</v>
      </c>
      <c r="H376" t="s">
        <v>48</v>
      </c>
      <c r="I376" t="s">
        <v>76</v>
      </c>
      <c r="J376" t="s">
        <v>50</v>
      </c>
      <c r="K376">
        <v>4.5</v>
      </c>
      <c r="L376">
        <v>4.2</v>
      </c>
      <c r="M376">
        <v>10.6</v>
      </c>
      <c r="N376">
        <v>8005</v>
      </c>
      <c r="O376">
        <v>51757</v>
      </c>
      <c r="P376">
        <v>10.6</v>
      </c>
      <c r="Q376">
        <v>241</v>
      </c>
      <c r="R376">
        <v>10.7</v>
      </c>
      <c r="S376">
        <v>1.89</v>
      </c>
      <c r="T376" t="s">
        <v>96</v>
      </c>
      <c r="U376">
        <v>17095</v>
      </c>
      <c r="V376">
        <v>46</v>
      </c>
      <c r="W376">
        <v>54</v>
      </c>
      <c r="X376">
        <v>879</v>
      </c>
      <c r="Y376">
        <v>21.8</v>
      </c>
      <c r="Z376" t="s">
        <v>110</v>
      </c>
      <c r="AA376">
        <v>57</v>
      </c>
      <c r="AB376">
        <v>43</v>
      </c>
      <c r="AC376" t="s">
        <v>53</v>
      </c>
      <c r="AD376">
        <v>14491</v>
      </c>
      <c r="AE376">
        <v>8424</v>
      </c>
      <c r="AF376">
        <v>614.48</v>
      </c>
      <c r="AG376">
        <v>69</v>
      </c>
      <c r="AH376">
        <v>1</v>
      </c>
      <c r="AI376">
        <v>50.817340579710141</v>
      </c>
      <c r="AJ376">
        <v>35.82</v>
      </c>
      <c r="AK376">
        <v>38.92</v>
      </c>
      <c r="AL376">
        <v>35.29</v>
      </c>
      <c r="AM376">
        <v>671</v>
      </c>
      <c r="AN376">
        <v>52.18</v>
      </c>
      <c r="AO376">
        <v>10.64</v>
      </c>
      <c r="AP376">
        <v>21.8</v>
      </c>
      <c r="AQ376">
        <v>46</v>
      </c>
    </row>
    <row r="377" spans="1:43" x14ac:dyDescent="0.3">
      <c r="A377">
        <v>376</v>
      </c>
      <c r="B377" t="s">
        <v>1218</v>
      </c>
      <c r="C377">
        <v>2024</v>
      </c>
      <c r="D377" t="s">
        <v>1214</v>
      </c>
      <c r="E377">
        <v>10</v>
      </c>
      <c r="F377" t="s">
        <v>1139</v>
      </c>
      <c r="G377" t="s">
        <v>114</v>
      </c>
      <c r="H377" t="s">
        <v>64</v>
      </c>
      <c r="I377" t="s">
        <v>1219</v>
      </c>
      <c r="J377" t="s">
        <v>50</v>
      </c>
      <c r="K377">
        <v>14.5</v>
      </c>
      <c r="L377">
        <v>12</v>
      </c>
      <c r="M377">
        <v>10</v>
      </c>
      <c r="N377">
        <v>9261</v>
      </c>
      <c r="O377">
        <v>275</v>
      </c>
      <c r="P377">
        <v>10</v>
      </c>
      <c r="Q377">
        <v>245</v>
      </c>
      <c r="R377">
        <v>281</v>
      </c>
      <c r="S377">
        <v>87.663372649027735</v>
      </c>
      <c r="T377" t="s">
        <v>51</v>
      </c>
      <c r="U377">
        <v>30316</v>
      </c>
      <c r="V377">
        <v>21</v>
      </c>
      <c r="W377">
        <v>24</v>
      </c>
      <c r="X377">
        <v>3.137</v>
      </c>
      <c r="Y377">
        <v>30</v>
      </c>
      <c r="Z377" t="s">
        <v>87</v>
      </c>
      <c r="AA377">
        <v>54</v>
      </c>
      <c r="AB377">
        <v>46</v>
      </c>
      <c r="AC377" t="s">
        <v>53</v>
      </c>
      <c r="AD377">
        <v>16829</v>
      </c>
      <c r="AE377">
        <v>9341</v>
      </c>
      <c r="AF377">
        <v>559.59</v>
      </c>
      <c r="AG377">
        <v>23</v>
      </c>
      <c r="AH377">
        <v>21</v>
      </c>
      <c r="AI377">
        <v>55.883456521739127</v>
      </c>
      <c r="AJ377">
        <v>36.42</v>
      </c>
      <c r="AK377">
        <v>48.16</v>
      </c>
      <c r="AL377">
        <v>22.85</v>
      </c>
      <c r="AM377">
        <v>671</v>
      </c>
      <c r="AN377">
        <v>52.18</v>
      </c>
      <c r="AO377">
        <v>118.4</v>
      </c>
      <c r="AP377">
        <v>30</v>
      </c>
      <c r="AQ377">
        <v>21</v>
      </c>
    </row>
    <row r="378" spans="1:43" x14ac:dyDescent="0.3">
      <c r="A378">
        <v>377</v>
      </c>
      <c r="B378" t="s">
        <v>1220</v>
      </c>
      <c r="C378">
        <v>2024</v>
      </c>
      <c r="D378" t="s">
        <v>1221</v>
      </c>
      <c r="E378">
        <v>3</v>
      </c>
      <c r="F378" t="s">
        <v>1139</v>
      </c>
      <c r="G378" t="s">
        <v>924</v>
      </c>
      <c r="H378" t="s">
        <v>100</v>
      </c>
      <c r="I378" t="s">
        <v>1222</v>
      </c>
      <c r="J378" t="s">
        <v>65</v>
      </c>
      <c r="K378">
        <v>21</v>
      </c>
      <c r="L378">
        <v>45.1</v>
      </c>
      <c r="M378">
        <v>4.2</v>
      </c>
      <c r="N378">
        <v>9410</v>
      </c>
      <c r="O378">
        <v>7586</v>
      </c>
      <c r="P378">
        <v>4.2</v>
      </c>
      <c r="Q378">
        <v>85</v>
      </c>
      <c r="R378">
        <v>19.8</v>
      </c>
      <c r="S378">
        <v>5.0199999999999996</v>
      </c>
      <c r="T378" t="s">
        <v>58</v>
      </c>
      <c r="U378">
        <v>14905</v>
      </c>
      <c r="V378">
        <v>3</v>
      </c>
      <c r="W378">
        <v>2</v>
      </c>
      <c r="X378">
        <v>788</v>
      </c>
      <c r="Y378">
        <v>14.5</v>
      </c>
      <c r="Z378" t="s">
        <v>133</v>
      </c>
      <c r="AA378">
        <v>51</v>
      </c>
      <c r="AB378">
        <v>49</v>
      </c>
      <c r="AC378" t="s">
        <v>53</v>
      </c>
      <c r="AD378">
        <v>15576</v>
      </c>
      <c r="AE378">
        <v>7214</v>
      </c>
      <c r="AF378">
        <v>1052</v>
      </c>
      <c r="AG378">
        <v>4</v>
      </c>
      <c r="AH378">
        <v>1050</v>
      </c>
      <c r="AI378">
        <v>25.698499999999999</v>
      </c>
      <c r="AJ378">
        <v>27.65</v>
      </c>
      <c r="AK378">
        <v>8.1300000000000008</v>
      </c>
      <c r="AL378">
        <v>6.39</v>
      </c>
      <c r="AM378">
        <v>681</v>
      </c>
      <c r="AN378">
        <v>51.47</v>
      </c>
      <c r="AO378">
        <v>10.44</v>
      </c>
      <c r="AP378">
        <v>14.5</v>
      </c>
      <c r="AQ378">
        <v>3</v>
      </c>
    </row>
    <row r="379" spans="1:43" x14ac:dyDescent="0.3">
      <c r="A379">
        <v>378</v>
      </c>
      <c r="B379" t="s">
        <v>1223</v>
      </c>
      <c r="C379">
        <v>2024</v>
      </c>
      <c r="D379" t="s">
        <v>1221</v>
      </c>
      <c r="E379">
        <v>35</v>
      </c>
      <c r="F379" t="s">
        <v>1139</v>
      </c>
      <c r="G379" t="s">
        <v>99</v>
      </c>
      <c r="H379" t="s">
        <v>100</v>
      </c>
      <c r="I379" t="s">
        <v>189</v>
      </c>
      <c r="J379" t="s">
        <v>50</v>
      </c>
      <c r="K379">
        <v>7.5</v>
      </c>
      <c r="L379">
        <v>2.6</v>
      </c>
      <c r="M379">
        <v>61.4</v>
      </c>
      <c r="N379">
        <v>9176</v>
      </c>
      <c r="O379">
        <v>898</v>
      </c>
      <c r="P379">
        <v>61.4</v>
      </c>
      <c r="Q379">
        <v>423</v>
      </c>
      <c r="R379">
        <v>300</v>
      </c>
      <c r="S379">
        <v>438.9051808406648</v>
      </c>
      <c r="T379" t="s">
        <v>71</v>
      </c>
      <c r="U379">
        <v>30974</v>
      </c>
      <c r="V379">
        <v>2</v>
      </c>
      <c r="W379">
        <v>2</v>
      </c>
      <c r="X379">
        <v>2.0459999999999998</v>
      </c>
      <c r="Y379">
        <v>18</v>
      </c>
      <c r="Z379" t="s">
        <v>197</v>
      </c>
      <c r="AA379">
        <v>43</v>
      </c>
      <c r="AB379">
        <v>57</v>
      </c>
      <c r="AC379" t="s">
        <v>53</v>
      </c>
      <c r="AD379">
        <v>19898</v>
      </c>
      <c r="AE379">
        <v>12491</v>
      </c>
      <c r="AF379">
        <v>616.32000000000005</v>
      </c>
      <c r="AG379">
        <v>35</v>
      </c>
      <c r="AH379">
        <v>12</v>
      </c>
      <c r="AI379">
        <v>56.538228571428569</v>
      </c>
      <c r="AJ379">
        <v>21.88</v>
      </c>
      <c r="AK379">
        <v>70.61</v>
      </c>
      <c r="AL379">
        <v>14.17</v>
      </c>
      <c r="AM379">
        <v>681</v>
      </c>
      <c r="AN379">
        <v>51.47</v>
      </c>
      <c r="AO379">
        <v>156.84</v>
      </c>
      <c r="AP379">
        <v>18</v>
      </c>
      <c r="AQ379">
        <v>2</v>
      </c>
    </row>
    <row r="380" spans="1:43" x14ac:dyDescent="0.3">
      <c r="A380">
        <v>379</v>
      </c>
      <c r="B380" t="s">
        <v>1224</v>
      </c>
      <c r="C380">
        <v>2024</v>
      </c>
      <c r="D380" t="s">
        <v>1221</v>
      </c>
      <c r="E380">
        <v>9</v>
      </c>
      <c r="F380" t="s">
        <v>1139</v>
      </c>
      <c r="G380" t="s">
        <v>805</v>
      </c>
      <c r="H380" t="s">
        <v>100</v>
      </c>
      <c r="I380" t="s">
        <v>1225</v>
      </c>
      <c r="J380" t="s">
        <v>50</v>
      </c>
      <c r="K380">
        <v>5.7</v>
      </c>
      <c r="L380">
        <v>10.4</v>
      </c>
      <c r="M380">
        <v>54.9</v>
      </c>
      <c r="N380">
        <v>2718</v>
      </c>
      <c r="O380">
        <v>898</v>
      </c>
      <c r="P380">
        <v>54.9</v>
      </c>
      <c r="Q380">
        <v>276</v>
      </c>
      <c r="R380">
        <v>604</v>
      </c>
      <c r="S380">
        <v>1.292086330935251</v>
      </c>
      <c r="T380" t="s">
        <v>51</v>
      </c>
      <c r="U380">
        <v>14857</v>
      </c>
      <c r="V380">
        <v>2</v>
      </c>
      <c r="W380">
        <v>3</v>
      </c>
      <c r="X380">
        <v>695</v>
      </c>
      <c r="Y380">
        <v>20.8</v>
      </c>
      <c r="Z380" t="s">
        <v>337</v>
      </c>
      <c r="AA380">
        <v>55</v>
      </c>
      <c r="AB380">
        <v>45</v>
      </c>
      <c r="AC380" t="s">
        <v>53</v>
      </c>
      <c r="AD380">
        <v>9909</v>
      </c>
      <c r="AE380">
        <v>4389</v>
      </c>
      <c r="AF380">
        <v>693.23</v>
      </c>
      <c r="AG380">
        <v>6</v>
      </c>
      <c r="AH380">
        <v>325</v>
      </c>
      <c r="AI380">
        <v>44.607750000000003</v>
      </c>
      <c r="AJ380">
        <v>12.14</v>
      </c>
      <c r="AK380">
        <v>70.150000000000006</v>
      </c>
      <c r="AL380">
        <v>7</v>
      </c>
      <c r="AM380">
        <v>681</v>
      </c>
      <c r="AN380">
        <v>51.47</v>
      </c>
      <c r="AO380">
        <v>274.54000000000002</v>
      </c>
      <c r="AP380">
        <v>20.8</v>
      </c>
      <c r="AQ380">
        <v>2</v>
      </c>
    </row>
    <row r="381" spans="1:43" x14ac:dyDescent="0.3">
      <c r="A381">
        <v>380</v>
      </c>
      <c r="B381" t="s">
        <v>1226</v>
      </c>
      <c r="C381">
        <v>2024</v>
      </c>
      <c r="D381" t="s">
        <v>1221</v>
      </c>
      <c r="E381">
        <v>1</v>
      </c>
      <c r="F381" t="s">
        <v>1139</v>
      </c>
      <c r="G381" t="s">
        <v>1227</v>
      </c>
      <c r="H381" t="s">
        <v>48</v>
      </c>
      <c r="I381" t="s">
        <v>1228</v>
      </c>
      <c r="J381" t="s">
        <v>50</v>
      </c>
      <c r="K381">
        <v>19.2</v>
      </c>
      <c r="L381">
        <v>38.6</v>
      </c>
      <c r="M381">
        <v>2.2999999999999998</v>
      </c>
      <c r="N381">
        <v>4678</v>
      </c>
      <c r="O381">
        <v>4907</v>
      </c>
      <c r="P381">
        <v>2.2999999999999998</v>
      </c>
      <c r="Q381">
        <v>69</v>
      </c>
      <c r="R381">
        <v>12.9</v>
      </c>
      <c r="S381">
        <v>3.22</v>
      </c>
      <c r="T381" t="s">
        <v>71</v>
      </c>
      <c r="U381">
        <v>25937</v>
      </c>
      <c r="V381">
        <v>5</v>
      </c>
      <c r="W381">
        <v>5</v>
      </c>
      <c r="X381">
        <v>2.4420000000000002</v>
      </c>
      <c r="Y381">
        <v>10.6</v>
      </c>
      <c r="Z381" t="s">
        <v>116</v>
      </c>
      <c r="AA381">
        <v>56</v>
      </c>
      <c r="AB381">
        <v>44</v>
      </c>
      <c r="AC381" t="s">
        <v>53</v>
      </c>
      <c r="AD381">
        <v>16818</v>
      </c>
      <c r="AE381">
        <v>8878</v>
      </c>
      <c r="AF381">
        <v>1634.04</v>
      </c>
      <c r="AG381">
        <v>5</v>
      </c>
      <c r="AH381">
        <v>786</v>
      </c>
      <c r="AI381">
        <v>23.9251</v>
      </c>
      <c r="AJ381">
        <v>15.78</v>
      </c>
      <c r="AK381">
        <v>11.82</v>
      </c>
      <c r="AL381">
        <v>9.68</v>
      </c>
      <c r="AM381">
        <v>681</v>
      </c>
      <c r="AN381">
        <v>51.47</v>
      </c>
      <c r="AO381">
        <v>6.54</v>
      </c>
      <c r="AP381">
        <v>10.6</v>
      </c>
      <c r="AQ381">
        <v>5</v>
      </c>
    </row>
    <row r="382" spans="1:43" x14ac:dyDescent="0.3">
      <c r="A382">
        <v>381</v>
      </c>
      <c r="B382" t="s">
        <v>1229</v>
      </c>
      <c r="C382">
        <v>2024</v>
      </c>
      <c r="D382" t="s">
        <v>1221</v>
      </c>
      <c r="E382">
        <v>95</v>
      </c>
      <c r="F382" t="s">
        <v>1139</v>
      </c>
      <c r="G382" t="s">
        <v>63</v>
      </c>
      <c r="H382" t="s">
        <v>64</v>
      </c>
      <c r="I382" t="s">
        <v>1230</v>
      </c>
      <c r="J382" t="s">
        <v>50</v>
      </c>
      <c r="K382">
        <v>10.9</v>
      </c>
      <c r="L382">
        <v>11.5</v>
      </c>
      <c r="M382">
        <v>26.1</v>
      </c>
      <c r="N382">
        <v>6780</v>
      </c>
      <c r="O382">
        <v>200</v>
      </c>
      <c r="P382">
        <v>26.1</v>
      </c>
      <c r="Q382">
        <v>165</v>
      </c>
      <c r="R382">
        <v>227</v>
      </c>
      <c r="S382">
        <v>89.325591782045564</v>
      </c>
      <c r="T382" t="s">
        <v>51</v>
      </c>
      <c r="U382">
        <v>27540</v>
      </c>
      <c r="V382">
        <v>3</v>
      </c>
      <c r="W382">
        <v>3</v>
      </c>
      <c r="X382">
        <v>2.2389999999999999</v>
      </c>
      <c r="Y382">
        <v>11.3</v>
      </c>
      <c r="Z382" t="s">
        <v>110</v>
      </c>
      <c r="AA382">
        <v>60</v>
      </c>
      <c r="AB382">
        <v>40</v>
      </c>
      <c r="AC382" t="s">
        <v>53</v>
      </c>
      <c r="AD382">
        <v>21789</v>
      </c>
      <c r="AE382">
        <v>6891</v>
      </c>
      <c r="AF382">
        <v>647.61</v>
      </c>
      <c r="AG382">
        <v>98</v>
      </c>
      <c r="AH382">
        <v>2</v>
      </c>
      <c r="AI382">
        <v>56.843244897959181</v>
      </c>
      <c r="AJ382">
        <v>29.74</v>
      </c>
      <c r="AK382">
        <v>38.11</v>
      </c>
      <c r="AL382">
        <v>19.260000000000002</v>
      </c>
      <c r="AM382">
        <v>681</v>
      </c>
      <c r="AN382">
        <v>51.47</v>
      </c>
      <c r="AO382">
        <v>106.46</v>
      </c>
      <c r="AP382">
        <v>11.3</v>
      </c>
      <c r="AQ382">
        <v>3</v>
      </c>
    </row>
    <row r="383" spans="1:43" x14ac:dyDescent="0.3">
      <c r="A383">
        <v>382</v>
      </c>
      <c r="B383" t="s">
        <v>1231</v>
      </c>
      <c r="C383">
        <v>2024</v>
      </c>
      <c r="D383" t="s">
        <v>1232</v>
      </c>
      <c r="E383">
        <v>20</v>
      </c>
      <c r="F383" t="s">
        <v>1139</v>
      </c>
      <c r="G383" t="s">
        <v>161</v>
      </c>
      <c r="H383" t="s">
        <v>100</v>
      </c>
      <c r="I383" t="s">
        <v>1233</v>
      </c>
      <c r="J383" t="s">
        <v>65</v>
      </c>
      <c r="K383">
        <v>10.9</v>
      </c>
      <c r="L383">
        <v>15.3</v>
      </c>
      <c r="M383">
        <v>11.7</v>
      </c>
      <c r="N383">
        <v>3956</v>
      </c>
      <c r="O383">
        <v>673</v>
      </c>
      <c r="P383">
        <v>11.7</v>
      </c>
      <c r="Q383">
        <v>172</v>
      </c>
      <c r="R383">
        <v>434</v>
      </c>
      <c r="S383">
        <v>301.1185682326622</v>
      </c>
      <c r="T383" t="s">
        <v>51</v>
      </c>
      <c r="U383">
        <v>16035</v>
      </c>
      <c r="V383">
        <v>8</v>
      </c>
      <c r="W383">
        <v>8</v>
      </c>
      <c r="X383">
        <v>2.2349999999999999</v>
      </c>
      <c r="Y383">
        <v>19.2</v>
      </c>
      <c r="Z383" t="s">
        <v>78</v>
      </c>
      <c r="AA383">
        <v>43</v>
      </c>
      <c r="AB383">
        <v>57</v>
      </c>
      <c r="AC383" t="s">
        <v>53</v>
      </c>
      <c r="AD383">
        <v>11138</v>
      </c>
      <c r="AE383">
        <v>3025</v>
      </c>
      <c r="AF383">
        <v>682.03</v>
      </c>
      <c r="AG383">
        <v>18</v>
      </c>
      <c r="AH383">
        <v>62</v>
      </c>
      <c r="AI383">
        <v>43.175027777777778</v>
      </c>
      <c r="AJ383">
        <v>22.69</v>
      </c>
      <c r="AK383">
        <v>33</v>
      </c>
      <c r="AL383">
        <v>15.2</v>
      </c>
      <c r="AM383">
        <v>691</v>
      </c>
      <c r="AN383">
        <v>50.75</v>
      </c>
      <c r="AO383">
        <v>180.62</v>
      </c>
      <c r="AP383">
        <v>19.2</v>
      </c>
      <c r="AQ383">
        <v>8</v>
      </c>
    </row>
    <row r="384" spans="1:43" x14ac:dyDescent="0.3">
      <c r="A384">
        <v>383</v>
      </c>
      <c r="B384" t="s">
        <v>1234</v>
      </c>
      <c r="C384">
        <v>2024</v>
      </c>
      <c r="D384" t="s">
        <v>1232</v>
      </c>
      <c r="E384">
        <v>1</v>
      </c>
      <c r="F384" t="s">
        <v>1139</v>
      </c>
      <c r="G384" t="s">
        <v>1235</v>
      </c>
      <c r="H384" t="s">
        <v>100</v>
      </c>
      <c r="I384" t="s">
        <v>1236</v>
      </c>
      <c r="J384" t="s">
        <v>50</v>
      </c>
      <c r="K384">
        <v>21.3</v>
      </c>
      <c r="L384">
        <v>44.9</v>
      </c>
      <c r="M384">
        <v>2.6</v>
      </c>
      <c r="N384">
        <v>9814</v>
      </c>
      <c r="O384">
        <v>20212</v>
      </c>
      <c r="P384">
        <v>2.6</v>
      </c>
      <c r="Q384">
        <v>137</v>
      </c>
      <c r="R384">
        <v>18.7</v>
      </c>
      <c r="S384">
        <v>2.15</v>
      </c>
      <c r="T384" t="s">
        <v>58</v>
      </c>
      <c r="U384">
        <v>216258</v>
      </c>
      <c r="V384">
        <v>3</v>
      </c>
      <c r="W384">
        <v>0</v>
      </c>
      <c r="X384">
        <v>2.2679999999999998</v>
      </c>
      <c r="Y384">
        <v>15.3</v>
      </c>
      <c r="Z384" t="s">
        <v>133</v>
      </c>
      <c r="AA384">
        <v>44</v>
      </c>
      <c r="AB384">
        <v>56</v>
      </c>
      <c r="AC384" t="s">
        <v>53</v>
      </c>
      <c r="AD384">
        <v>22404</v>
      </c>
      <c r="AE384">
        <v>13439</v>
      </c>
      <c r="AF384">
        <v>1222.8800000000001</v>
      </c>
      <c r="AG384">
        <v>7</v>
      </c>
      <c r="AH384">
        <v>855</v>
      </c>
      <c r="AI384">
        <v>30.616428571428571</v>
      </c>
      <c r="AJ384">
        <v>19.73</v>
      </c>
      <c r="AK384">
        <v>18.03</v>
      </c>
      <c r="AL384">
        <v>4.42</v>
      </c>
      <c r="AM384">
        <v>691</v>
      </c>
      <c r="AN384">
        <v>50.75</v>
      </c>
      <c r="AO384">
        <v>9.0399999999999991</v>
      </c>
      <c r="AP384">
        <v>15.3</v>
      </c>
      <c r="AQ384">
        <v>3</v>
      </c>
    </row>
    <row r="385" spans="1:43" x14ac:dyDescent="0.3">
      <c r="A385">
        <v>384</v>
      </c>
      <c r="B385" t="s">
        <v>1237</v>
      </c>
      <c r="C385">
        <v>2024</v>
      </c>
      <c r="D385" t="s">
        <v>1232</v>
      </c>
      <c r="E385">
        <v>14</v>
      </c>
      <c r="F385" t="s">
        <v>1139</v>
      </c>
      <c r="G385" t="s">
        <v>384</v>
      </c>
      <c r="H385" t="s">
        <v>48</v>
      </c>
      <c r="I385" t="s">
        <v>1238</v>
      </c>
      <c r="J385" t="s">
        <v>50</v>
      </c>
      <c r="K385">
        <v>11.9</v>
      </c>
      <c r="L385">
        <v>3.6</v>
      </c>
      <c r="M385">
        <v>45.5</v>
      </c>
      <c r="N385">
        <v>2989</v>
      </c>
      <c r="O385">
        <v>254</v>
      </c>
      <c r="P385">
        <v>45.5</v>
      </c>
      <c r="Q385">
        <v>265</v>
      </c>
      <c r="R385">
        <v>535</v>
      </c>
      <c r="S385">
        <v>0.34510869565217389</v>
      </c>
      <c r="T385" t="s">
        <v>58</v>
      </c>
      <c r="U385">
        <v>17196</v>
      </c>
      <c r="V385">
        <v>7</v>
      </c>
      <c r="W385">
        <v>8</v>
      </c>
      <c r="X385">
        <v>736</v>
      </c>
      <c r="Y385">
        <v>26</v>
      </c>
      <c r="Z385" t="s">
        <v>457</v>
      </c>
      <c r="AA385">
        <v>58</v>
      </c>
      <c r="AB385">
        <v>42</v>
      </c>
      <c r="AC385" t="s">
        <v>53</v>
      </c>
      <c r="AD385">
        <v>11898</v>
      </c>
      <c r="AE385">
        <v>6118</v>
      </c>
      <c r="AF385">
        <v>644.77</v>
      </c>
      <c r="AG385">
        <v>18</v>
      </c>
      <c r="AH385">
        <v>181</v>
      </c>
      <c r="AI385">
        <v>47.393000000000001</v>
      </c>
      <c r="AJ385">
        <v>35.17</v>
      </c>
      <c r="AK385">
        <v>47.49</v>
      </c>
      <c r="AL385">
        <v>13.04</v>
      </c>
      <c r="AM385">
        <v>691</v>
      </c>
      <c r="AN385">
        <v>50.75</v>
      </c>
      <c r="AO385">
        <v>241.3</v>
      </c>
      <c r="AP385">
        <v>26</v>
      </c>
      <c r="AQ385">
        <v>7</v>
      </c>
    </row>
    <row r="386" spans="1:43" x14ac:dyDescent="0.3">
      <c r="A386">
        <v>385</v>
      </c>
      <c r="B386" t="s">
        <v>1239</v>
      </c>
      <c r="C386">
        <v>2024</v>
      </c>
      <c r="D386" t="s">
        <v>1240</v>
      </c>
      <c r="E386">
        <v>23</v>
      </c>
      <c r="F386" t="s">
        <v>1139</v>
      </c>
      <c r="G386" t="s">
        <v>286</v>
      </c>
      <c r="H386" t="s">
        <v>48</v>
      </c>
      <c r="I386" t="s">
        <v>1241</v>
      </c>
      <c r="J386" t="s">
        <v>50</v>
      </c>
      <c r="K386">
        <v>10</v>
      </c>
      <c r="L386">
        <v>3.7</v>
      </c>
      <c r="M386">
        <v>1.4</v>
      </c>
      <c r="N386">
        <v>1641</v>
      </c>
      <c r="O386">
        <v>1070</v>
      </c>
      <c r="P386">
        <v>1.4</v>
      </c>
      <c r="Q386">
        <v>23</v>
      </c>
      <c r="R386">
        <v>7.4</v>
      </c>
      <c r="S386">
        <v>2.4900000000000002</v>
      </c>
      <c r="T386" t="s">
        <v>51</v>
      </c>
      <c r="U386">
        <v>9271</v>
      </c>
      <c r="V386">
        <v>27</v>
      </c>
      <c r="W386">
        <v>27</v>
      </c>
      <c r="X386">
        <v>1.1970000000000001</v>
      </c>
      <c r="Y386">
        <v>19</v>
      </c>
      <c r="Z386" t="s">
        <v>116</v>
      </c>
      <c r="AA386">
        <v>56</v>
      </c>
      <c r="AB386">
        <v>44</v>
      </c>
      <c r="AC386" t="s">
        <v>53</v>
      </c>
      <c r="AD386">
        <v>7132</v>
      </c>
      <c r="AE386">
        <v>2139</v>
      </c>
      <c r="AF386">
        <v>1470.93</v>
      </c>
      <c r="AG386">
        <v>24</v>
      </c>
      <c r="AH386">
        <v>95</v>
      </c>
      <c r="AI386">
        <v>29.87127083333333</v>
      </c>
      <c r="AJ386">
        <v>18.23</v>
      </c>
      <c r="AK386">
        <v>14.05</v>
      </c>
      <c r="AL386">
        <v>16.72</v>
      </c>
      <c r="AM386">
        <v>701</v>
      </c>
      <c r="AN386">
        <v>50.04</v>
      </c>
      <c r="AO386">
        <v>3.8</v>
      </c>
      <c r="AP386">
        <v>19</v>
      </c>
      <c r="AQ386">
        <v>27</v>
      </c>
    </row>
    <row r="387" spans="1:43" x14ac:dyDescent="0.3">
      <c r="A387">
        <v>386</v>
      </c>
      <c r="B387" t="s">
        <v>1242</v>
      </c>
      <c r="C387">
        <v>2024</v>
      </c>
      <c r="D387" t="s">
        <v>1240</v>
      </c>
      <c r="E387">
        <v>15</v>
      </c>
      <c r="F387" t="s">
        <v>1139</v>
      </c>
      <c r="G387" t="s">
        <v>131</v>
      </c>
      <c r="H387" t="s">
        <v>100</v>
      </c>
      <c r="I387" t="s">
        <v>1243</v>
      </c>
      <c r="J387" t="s">
        <v>50</v>
      </c>
      <c r="K387">
        <v>16.8</v>
      </c>
      <c r="L387">
        <v>8.4</v>
      </c>
      <c r="M387">
        <v>10.9</v>
      </c>
      <c r="N387">
        <v>4183</v>
      </c>
      <c r="O387">
        <v>898</v>
      </c>
      <c r="P387">
        <v>10.9</v>
      </c>
      <c r="Q387">
        <v>120</v>
      </c>
      <c r="R387">
        <v>415</v>
      </c>
      <c r="S387">
        <v>501.67597765363132</v>
      </c>
      <c r="T387" t="s">
        <v>96</v>
      </c>
      <c r="U387">
        <v>13832</v>
      </c>
      <c r="V387">
        <v>6</v>
      </c>
      <c r="W387">
        <v>5</v>
      </c>
      <c r="X387">
        <v>1.79</v>
      </c>
      <c r="Y387">
        <v>8.9</v>
      </c>
      <c r="Z387" t="s">
        <v>852</v>
      </c>
      <c r="AA387">
        <v>38</v>
      </c>
      <c r="AB387">
        <v>62</v>
      </c>
      <c r="AC387" t="s">
        <v>53</v>
      </c>
      <c r="AD387">
        <v>7773</v>
      </c>
      <c r="AE387">
        <v>5857</v>
      </c>
      <c r="AF387">
        <v>1349.57</v>
      </c>
      <c r="AG387">
        <v>37</v>
      </c>
      <c r="AH387">
        <v>29</v>
      </c>
      <c r="AI387">
        <v>35.237824324324329</v>
      </c>
      <c r="AJ387">
        <v>25.61</v>
      </c>
      <c r="AK387">
        <v>22.27</v>
      </c>
      <c r="AL387">
        <v>5.48</v>
      </c>
      <c r="AM387">
        <v>701</v>
      </c>
      <c r="AN387">
        <v>50.04</v>
      </c>
      <c r="AO387">
        <v>172.54</v>
      </c>
      <c r="AP387">
        <v>8.9</v>
      </c>
      <c r="AQ387">
        <v>6</v>
      </c>
    </row>
    <row r="388" spans="1:43" x14ac:dyDescent="0.3">
      <c r="A388">
        <v>387</v>
      </c>
      <c r="B388" t="s">
        <v>1244</v>
      </c>
      <c r="C388">
        <v>2024</v>
      </c>
      <c r="D388" t="s">
        <v>1240</v>
      </c>
      <c r="E388">
        <v>1</v>
      </c>
      <c r="F388" t="s">
        <v>1139</v>
      </c>
      <c r="G388" t="s">
        <v>1142</v>
      </c>
      <c r="H388" t="s">
        <v>48</v>
      </c>
      <c r="I388" t="s">
        <v>1245</v>
      </c>
      <c r="J388" t="s">
        <v>50</v>
      </c>
      <c r="K388">
        <v>23.9</v>
      </c>
      <c r="L388">
        <v>16.8</v>
      </c>
      <c r="M388">
        <v>7.8</v>
      </c>
      <c r="N388">
        <v>10743</v>
      </c>
      <c r="O388">
        <v>405</v>
      </c>
      <c r="P388">
        <v>7.8</v>
      </c>
      <c r="Q388">
        <v>333</v>
      </c>
      <c r="R388">
        <v>629</v>
      </c>
      <c r="S388">
        <v>175.93397046046911</v>
      </c>
      <c r="T388" t="s">
        <v>51</v>
      </c>
      <c r="U388">
        <v>30414</v>
      </c>
      <c r="V388">
        <v>11</v>
      </c>
      <c r="W388">
        <v>12</v>
      </c>
      <c r="X388">
        <v>2.302</v>
      </c>
      <c r="Y388">
        <v>17.8</v>
      </c>
      <c r="Z388" t="s">
        <v>138</v>
      </c>
      <c r="AA388">
        <v>61</v>
      </c>
      <c r="AB388">
        <v>39</v>
      </c>
      <c r="AC388" t="s">
        <v>53</v>
      </c>
      <c r="AD388">
        <v>17867</v>
      </c>
      <c r="AE388">
        <v>14981</v>
      </c>
      <c r="AF388">
        <v>969.17</v>
      </c>
      <c r="AG388">
        <v>8</v>
      </c>
      <c r="AH388">
        <v>779</v>
      </c>
      <c r="AI388">
        <v>28.816500000000001</v>
      </c>
      <c r="AJ388">
        <v>22.44</v>
      </c>
      <c r="AK388">
        <v>17.559999999999999</v>
      </c>
      <c r="AL388">
        <v>17.809999999999999</v>
      </c>
      <c r="AM388">
        <v>701</v>
      </c>
      <c r="AN388">
        <v>50.04</v>
      </c>
      <c r="AO388">
        <v>256.27999999999997</v>
      </c>
      <c r="AP388">
        <v>17.8</v>
      </c>
      <c r="AQ388">
        <v>11</v>
      </c>
    </row>
    <row r="389" spans="1:43" x14ac:dyDescent="0.3">
      <c r="A389">
        <v>388</v>
      </c>
      <c r="B389" t="s">
        <v>1246</v>
      </c>
      <c r="C389">
        <v>2024</v>
      </c>
      <c r="D389" t="s">
        <v>1240</v>
      </c>
      <c r="E389">
        <v>85</v>
      </c>
      <c r="F389" t="s">
        <v>1139</v>
      </c>
      <c r="G389" t="s">
        <v>63</v>
      </c>
      <c r="H389" t="s">
        <v>64</v>
      </c>
      <c r="I389" t="s">
        <v>1247</v>
      </c>
      <c r="J389" t="s">
        <v>65</v>
      </c>
      <c r="K389">
        <v>5.4</v>
      </c>
      <c r="L389">
        <v>6.1</v>
      </c>
      <c r="M389">
        <v>11</v>
      </c>
      <c r="N389">
        <v>1245</v>
      </c>
      <c r="O389">
        <v>167</v>
      </c>
      <c r="P389">
        <v>11</v>
      </c>
      <c r="Q389">
        <v>70</v>
      </c>
      <c r="R389">
        <v>366</v>
      </c>
      <c r="S389">
        <v>73.374340949033396</v>
      </c>
      <c r="T389" t="s">
        <v>96</v>
      </c>
      <c r="U389">
        <v>8293</v>
      </c>
      <c r="V389">
        <v>9</v>
      </c>
      <c r="W389">
        <v>10</v>
      </c>
      <c r="X389">
        <v>2.2759999999999998</v>
      </c>
      <c r="Y389">
        <v>4.0999999999999996</v>
      </c>
      <c r="Z389" t="s">
        <v>87</v>
      </c>
      <c r="AA389">
        <v>56</v>
      </c>
      <c r="AB389">
        <v>44</v>
      </c>
      <c r="AC389" t="s">
        <v>53</v>
      </c>
      <c r="AD389">
        <v>6236</v>
      </c>
      <c r="AE389">
        <v>2053</v>
      </c>
      <c r="AF389">
        <v>647.61</v>
      </c>
      <c r="AG389">
        <v>98</v>
      </c>
      <c r="AH389">
        <v>2</v>
      </c>
      <c r="AI389">
        <v>56.843244897959181</v>
      </c>
      <c r="AJ389">
        <v>29.74</v>
      </c>
      <c r="AK389">
        <v>38.11</v>
      </c>
      <c r="AL389">
        <v>19.260000000000002</v>
      </c>
      <c r="AM389">
        <v>701</v>
      </c>
      <c r="AN389">
        <v>50.04</v>
      </c>
      <c r="AO389">
        <v>153</v>
      </c>
      <c r="AP389">
        <v>4.0999999999999996</v>
      </c>
      <c r="AQ389">
        <v>9</v>
      </c>
    </row>
    <row r="390" spans="1:43" x14ac:dyDescent="0.3">
      <c r="A390">
        <v>389</v>
      </c>
      <c r="B390" t="s">
        <v>1248</v>
      </c>
      <c r="C390">
        <v>2024</v>
      </c>
      <c r="D390" t="s">
        <v>1240</v>
      </c>
      <c r="E390">
        <v>10</v>
      </c>
      <c r="F390" t="s">
        <v>1139</v>
      </c>
      <c r="G390" t="s">
        <v>725</v>
      </c>
      <c r="H390" t="s">
        <v>100</v>
      </c>
      <c r="I390" t="s">
        <v>1249</v>
      </c>
      <c r="J390" t="s">
        <v>50</v>
      </c>
      <c r="K390">
        <v>14.5</v>
      </c>
      <c r="L390">
        <v>17.3</v>
      </c>
      <c r="M390">
        <v>6.3</v>
      </c>
      <c r="N390">
        <v>1376</v>
      </c>
      <c r="O390">
        <v>10288</v>
      </c>
      <c r="P390">
        <v>6.3</v>
      </c>
      <c r="Q390">
        <v>99</v>
      </c>
      <c r="R390">
        <v>20.8</v>
      </c>
      <c r="S390">
        <v>2.5099999999999998</v>
      </c>
      <c r="T390" t="s">
        <v>58</v>
      </c>
      <c r="U390">
        <v>9036</v>
      </c>
      <c r="V390">
        <v>2</v>
      </c>
      <c r="W390">
        <v>2</v>
      </c>
      <c r="X390">
        <v>634</v>
      </c>
      <c r="Y390">
        <v>14.4</v>
      </c>
      <c r="Z390" t="s">
        <v>1250</v>
      </c>
      <c r="AA390">
        <v>83</v>
      </c>
      <c r="AB390">
        <v>17</v>
      </c>
      <c r="AC390" t="s">
        <v>53</v>
      </c>
      <c r="AD390">
        <v>5523</v>
      </c>
      <c r="AE390">
        <v>1997</v>
      </c>
      <c r="AF390">
        <v>460.42</v>
      </c>
      <c r="AG390">
        <v>5</v>
      </c>
      <c r="AH390">
        <v>229</v>
      </c>
      <c r="AI390">
        <v>49.677900000000001</v>
      </c>
      <c r="AJ390">
        <v>26.87</v>
      </c>
      <c r="AK390">
        <v>33.99</v>
      </c>
      <c r="AL390">
        <v>36.58</v>
      </c>
      <c r="AM390">
        <v>701</v>
      </c>
      <c r="AN390">
        <v>50.04</v>
      </c>
      <c r="AO390">
        <v>12.1</v>
      </c>
      <c r="AP390">
        <v>14.4</v>
      </c>
      <c r="AQ390">
        <v>2</v>
      </c>
    </row>
    <row r="391" spans="1:43" x14ac:dyDescent="0.3">
      <c r="A391">
        <v>390</v>
      </c>
      <c r="B391" t="s">
        <v>1251</v>
      </c>
      <c r="C391">
        <v>2024</v>
      </c>
      <c r="D391" t="s">
        <v>1252</v>
      </c>
      <c r="E391">
        <v>2</v>
      </c>
      <c r="F391" t="s">
        <v>1139</v>
      </c>
      <c r="G391" t="s">
        <v>811</v>
      </c>
      <c r="H391" t="s">
        <v>100</v>
      </c>
      <c r="I391" t="s">
        <v>962</v>
      </c>
      <c r="J391" t="s">
        <v>50</v>
      </c>
      <c r="K391">
        <v>26.4</v>
      </c>
      <c r="L391">
        <v>19.100000000000001</v>
      </c>
      <c r="M391">
        <v>4.2</v>
      </c>
      <c r="N391">
        <v>15218</v>
      </c>
      <c r="O391">
        <v>673</v>
      </c>
      <c r="P391">
        <v>4.2</v>
      </c>
      <c r="Q391">
        <v>91</v>
      </c>
      <c r="R391">
        <v>364</v>
      </c>
      <c r="S391">
        <v>277.06875257307541</v>
      </c>
      <c r="T391" t="s">
        <v>96</v>
      </c>
      <c r="U391">
        <v>61369</v>
      </c>
      <c r="V391">
        <v>9</v>
      </c>
      <c r="W391">
        <v>8</v>
      </c>
      <c r="X391">
        <v>2.4289999999999998</v>
      </c>
      <c r="Y391">
        <v>25.4</v>
      </c>
      <c r="Z391" t="s">
        <v>116</v>
      </c>
      <c r="AA391">
        <v>56</v>
      </c>
      <c r="AB391">
        <v>44</v>
      </c>
      <c r="AC391" t="s">
        <v>53</v>
      </c>
      <c r="AD391">
        <v>40917</v>
      </c>
      <c r="AE391">
        <v>14572</v>
      </c>
      <c r="AF391">
        <v>913.31</v>
      </c>
      <c r="AG391">
        <v>10</v>
      </c>
      <c r="AH391">
        <v>382</v>
      </c>
      <c r="AI391">
        <v>34.574950000000001</v>
      </c>
      <c r="AJ391">
        <v>18.27</v>
      </c>
      <c r="AK391">
        <v>15.63</v>
      </c>
      <c r="AL391">
        <v>16.420000000000002</v>
      </c>
      <c r="AM391">
        <v>711</v>
      </c>
      <c r="AN391">
        <v>49.32</v>
      </c>
      <c r="AO391">
        <v>148.12</v>
      </c>
      <c r="AP391">
        <v>25.4</v>
      </c>
      <c r="AQ391">
        <v>9</v>
      </c>
    </row>
    <row r="392" spans="1:43" x14ac:dyDescent="0.3">
      <c r="A392">
        <v>391</v>
      </c>
      <c r="B392" t="s">
        <v>1253</v>
      </c>
      <c r="C392">
        <v>2024</v>
      </c>
      <c r="D392" t="s">
        <v>1252</v>
      </c>
      <c r="E392">
        <v>17</v>
      </c>
      <c r="F392" t="s">
        <v>1139</v>
      </c>
      <c r="G392" t="s">
        <v>590</v>
      </c>
      <c r="H392" t="s">
        <v>100</v>
      </c>
      <c r="I392" t="s">
        <v>1254</v>
      </c>
      <c r="J392" t="s">
        <v>50</v>
      </c>
      <c r="K392">
        <v>7.8</v>
      </c>
      <c r="L392">
        <v>11.3</v>
      </c>
      <c r="M392">
        <v>30.4</v>
      </c>
      <c r="N392">
        <v>934</v>
      </c>
      <c r="O392">
        <v>11787</v>
      </c>
      <c r="P392">
        <v>30.4</v>
      </c>
      <c r="Q392">
        <v>98</v>
      </c>
      <c r="R392">
        <v>37.4</v>
      </c>
      <c r="S392">
        <v>3.28</v>
      </c>
      <c r="T392" t="s">
        <v>96</v>
      </c>
      <c r="U392">
        <v>5871</v>
      </c>
      <c r="V392">
        <v>4</v>
      </c>
      <c r="W392">
        <v>2</v>
      </c>
      <c r="X392">
        <v>686</v>
      </c>
      <c r="Y392">
        <v>9.6</v>
      </c>
      <c r="Z392" t="s">
        <v>197</v>
      </c>
      <c r="AA392">
        <v>46</v>
      </c>
      <c r="AB392">
        <v>54</v>
      </c>
      <c r="AC392" t="s">
        <v>53</v>
      </c>
      <c r="AD392">
        <v>4130</v>
      </c>
      <c r="AE392">
        <v>1913</v>
      </c>
      <c r="AF392">
        <v>1100.42</v>
      </c>
      <c r="AG392">
        <v>16</v>
      </c>
      <c r="AH392">
        <v>218</v>
      </c>
      <c r="AI392">
        <v>38.128875000000001</v>
      </c>
      <c r="AJ392">
        <v>27.22</v>
      </c>
      <c r="AK392">
        <v>36.06</v>
      </c>
      <c r="AL392">
        <v>6.8</v>
      </c>
      <c r="AM392">
        <v>711</v>
      </c>
      <c r="AN392">
        <v>49.32</v>
      </c>
      <c r="AO392">
        <v>33.200000000000003</v>
      </c>
      <c r="AP392">
        <v>9.6</v>
      </c>
      <c r="AQ392">
        <v>4</v>
      </c>
    </row>
    <row r="393" spans="1:43" x14ac:dyDescent="0.3">
      <c r="A393">
        <v>392</v>
      </c>
      <c r="B393" t="s">
        <v>1255</v>
      </c>
      <c r="C393">
        <v>2024</v>
      </c>
      <c r="D393" t="s">
        <v>1252</v>
      </c>
      <c r="E393">
        <v>164</v>
      </c>
      <c r="F393" t="s">
        <v>1139</v>
      </c>
      <c r="G393" t="s">
        <v>63</v>
      </c>
      <c r="H393" t="s">
        <v>64</v>
      </c>
      <c r="I393" t="s">
        <v>128</v>
      </c>
      <c r="J393" t="s">
        <v>50</v>
      </c>
      <c r="K393">
        <v>10.6</v>
      </c>
      <c r="L393">
        <v>13.1</v>
      </c>
      <c r="M393">
        <v>18.100000000000001</v>
      </c>
      <c r="N393">
        <v>2111</v>
      </c>
      <c r="O393">
        <v>541</v>
      </c>
      <c r="P393">
        <v>18.100000000000001</v>
      </c>
      <c r="Q393">
        <v>150</v>
      </c>
      <c r="R393">
        <v>894</v>
      </c>
      <c r="S393">
        <v>0.64868105515587526</v>
      </c>
      <c r="T393" t="s">
        <v>51</v>
      </c>
      <c r="U393">
        <v>11668</v>
      </c>
      <c r="V393">
        <v>11</v>
      </c>
      <c r="W393">
        <v>19</v>
      </c>
      <c r="X393">
        <v>834</v>
      </c>
      <c r="Y393">
        <v>17.2</v>
      </c>
      <c r="Z393" t="s">
        <v>102</v>
      </c>
      <c r="AA393">
        <v>46</v>
      </c>
      <c r="AB393">
        <v>54</v>
      </c>
      <c r="AC393" t="s">
        <v>53</v>
      </c>
      <c r="AD393">
        <v>8100</v>
      </c>
      <c r="AE393">
        <v>4298</v>
      </c>
      <c r="AF393">
        <v>647.61</v>
      </c>
      <c r="AG393">
        <v>98</v>
      </c>
      <c r="AH393">
        <v>2</v>
      </c>
      <c r="AI393">
        <v>56.843244897959181</v>
      </c>
      <c r="AJ393">
        <v>29.74</v>
      </c>
      <c r="AK393">
        <v>38.11</v>
      </c>
      <c r="AL393">
        <v>19.260000000000002</v>
      </c>
      <c r="AM393">
        <v>711</v>
      </c>
      <c r="AN393">
        <v>49.32</v>
      </c>
      <c r="AO393">
        <v>368.46</v>
      </c>
      <c r="AP393">
        <v>17.2</v>
      </c>
      <c r="AQ393">
        <v>11</v>
      </c>
    </row>
    <row r="394" spans="1:43" x14ac:dyDescent="0.3">
      <c r="A394">
        <v>393</v>
      </c>
      <c r="B394" t="s">
        <v>1256</v>
      </c>
      <c r="C394">
        <v>2024</v>
      </c>
      <c r="D394" t="s">
        <v>1252</v>
      </c>
      <c r="E394">
        <v>80</v>
      </c>
      <c r="F394" t="s">
        <v>1139</v>
      </c>
      <c r="G394" t="s">
        <v>47</v>
      </c>
      <c r="H394" t="s">
        <v>48</v>
      </c>
      <c r="I394" t="s">
        <v>76</v>
      </c>
      <c r="J394" t="s">
        <v>50</v>
      </c>
      <c r="K394">
        <v>12.9</v>
      </c>
      <c r="L394">
        <v>6.7</v>
      </c>
      <c r="M394">
        <v>6</v>
      </c>
      <c r="N394">
        <v>6508</v>
      </c>
      <c r="O394">
        <v>6255</v>
      </c>
      <c r="P394">
        <v>6</v>
      </c>
      <c r="Q394">
        <v>72</v>
      </c>
      <c r="R394">
        <v>10.6</v>
      </c>
      <c r="S394">
        <v>5.08</v>
      </c>
      <c r="T394" t="s">
        <v>96</v>
      </c>
      <c r="U394">
        <v>17315</v>
      </c>
      <c r="V394">
        <v>48</v>
      </c>
      <c r="W394">
        <v>51</v>
      </c>
      <c r="X394">
        <v>861</v>
      </c>
      <c r="Y394">
        <v>19.8</v>
      </c>
      <c r="Z394" t="s">
        <v>202</v>
      </c>
      <c r="AA394">
        <v>59</v>
      </c>
      <c r="AB394">
        <v>41</v>
      </c>
      <c r="AC394" t="s">
        <v>53</v>
      </c>
      <c r="AD394">
        <v>13899</v>
      </c>
      <c r="AE394">
        <v>5631</v>
      </c>
      <c r="AF394">
        <v>614.48</v>
      </c>
      <c r="AG394">
        <v>69</v>
      </c>
      <c r="AH394">
        <v>1</v>
      </c>
      <c r="AI394">
        <v>50.817340579710141</v>
      </c>
      <c r="AJ394">
        <v>35.82</v>
      </c>
      <c r="AK394">
        <v>38.92</v>
      </c>
      <c r="AL394">
        <v>35.29</v>
      </c>
      <c r="AM394">
        <v>711</v>
      </c>
      <c r="AN394">
        <v>49.32</v>
      </c>
      <c r="AO394">
        <v>7.84</v>
      </c>
      <c r="AP394">
        <v>19.8</v>
      </c>
      <c r="AQ394">
        <v>48</v>
      </c>
    </row>
    <row r="395" spans="1:43" x14ac:dyDescent="0.3">
      <c r="A395">
        <v>394</v>
      </c>
      <c r="B395" t="s">
        <v>1257</v>
      </c>
      <c r="C395">
        <v>2024</v>
      </c>
      <c r="D395" t="s">
        <v>1258</v>
      </c>
      <c r="E395">
        <v>22</v>
      </c>
      <c r="F395" t="s">
        <v>1139</v>
      </c>
      <c r="G395" t="s">
        <v>161</v>
      </c>
      <c r="H395" t="s">
        <v>100</v>
      </c>
      <c r="I395" t="s">
        <v>1259</v>
      </c>
      <c r="J395" t="s">
        <v>50</v>
      </c>
      <c r="K395">
        <v>16.7</v>
      </c>
      <c r="L395">
        <v>10.7</v>
      </c>
      <c r="M395">
        <v>9.6999999999999993</v>
      </c>
      <c r="N395">
        <v>3846</v>
      </c>
      <c r="O395">
        <v>21458</v>
      </c>
      <c r="P395">
        <v>9.6999999999999993</v>
      </c>
      <c r="Q395">
        <v>150</v>
      </c>
      <c r="R395">
        <v>20.6</v>
      </c>
      <c r="S395">
        <v>2.63</v>
      </c>
      <c r="T395" t="s">
        <v>96</v>
      </c>
      <c r="U395">
        <v>20118</v>
      </c>
      <c r="V395">
        <v>7</v>
      </c>
      <c r="W395">
        <v>10</v>
      </c>
      <c r="X395">
        <v>2.3450000000000002</v>
      </c>
      <c r="Y395">
        <v>19.600000000000001</v>
      </c>
      <c r="Z395" t="s">
        <v>102</v>
      </c>
      <c r="AA395">
        <v>46</v>
      </c>
      <c r="AB395">
        <v>54</v>
      </c>
      <c r="AC395" t="s">
        <v>53</v>
      </c>
      <c r="AD395">
        <v>13328</v>
      </c>
      <c r="AE395">
        <v>5398</v>
      </c>
      <c r="AF395">
        <v>682.03</v>
      </c>
      <c r="AG395">
        <v>18</v>
      </c>
      <c r="AH395">
        <v>62</v>
      </c>
      <c r="AI395">
        <v>43.175027777777778</v>
      </c>
      <c r="AJ395">
        <v>22.69</v>
      </c>
      <c r="AK395">
        <v>33</v>
      </c>
      <c r="AL395">
        <v>15.2</v>
      </c>
      <c r="AM395">
        <v>721</v>
      </c>
      <c r="AN395">
        <v>48.61</v>
      </c>
      <c r="AO395">
        <v>14.06</v>
      </c>
      <c r="AP395">
        <v>19.600000000000001</v>
      </c>
      <c r="AQ395">
        <v>7</v>
      </c>
    </row>
    <row r="396" spans="1:43" x14ac:dyDescent="0.3">
      <c r="A396">
        <v>395</v>
      </c>
      <c r="B396" t="s">
        <v>1260</v>
      </c>
      <c r="C396">
        <v>2024</v>
      </c>
      <c r="D396" t="s">
        <v>1258</v>
      </c>
      <c r="E396">
        <v>112</v>
      </c>
      <c r="F396" t="s">
        <v>1139</v>
      </c>
      <c r="G396" t="s">
        <v>63</v>
      </c>
      <c r="H396" t="s">
        <v>64</v>
      </c>
      <c r="I396" t="s">
        <v>86</v>
      </c>
      <c r="J396" t="s">
        <v>50</v>
      </c>
      <c r="K396">
        <v>12.5</v>
      </c>
      <c r="L396">
        <v>7.9</v>
      </c>
      <c r="M396">
        <v>18.8</v>
      </c>
      <c r="N396">
        <v>21114</v>
      </c>
      <c r="O396">
        <v>327</v>
      </c>
      <c r="P396">
        <v>18.8</v>
      </c>
      <c r="Q396">
        <v>291</v>
      </c>
      <c r="R396">
        <v>382</v>
      </c>
      <c r="S396">
        <v>118.1785327069028</v>
      </c>
      <c r="T396" t="s">
        <v>77</v>
      </c>
      <c r="U396">
        <v>34069</v>
      </c>
      <c r="V396">
        <v>6</v>
      </c>
      <c r="W396">
        <v>6</v>
      </c>
      <c r="X396">
        <v>2.7669999999999999</v>
      </c>
      <c r="Y396">
        <v>12.3</v>
      </c>
      <c r="Z396" t="s">
        <v>116</v>
      </c>
      <c r="AA396">
        <v>57</v>
      </c>
      <c r="AB396">
        <v>43</v>
      </c>
      <c r="AC396" t="s">
        <v>53</v>
      </c>
      <c r="AD396">
        <v>20088</v>
      </c>
      <c r="AE396">
        <v>10596</v>
      </c>
      <c r="AF396">
        <v>647.61</v>
      </c>
      <c r="AG396">
        <v>98</v>
      </c>
      <c r="AH396">
        <v>2</v>
      </c>
      <c r="AI396">
        <v>56.843244897959181</v>
      </c>
      <c r="AJ396">
        <v>29.74</v>
      </c>
      <c r="AK396">
        <v>38.11</v>
      </c>
      <c r="AL396">
        <v>19.260000000000002</v>
      </c>
      <c r="AM396">
        <v>721</v>
      </c>
      <c r="AN396">
        <v>48.61</v>
      </c>
      <c r="AO396">
        <v>164.08</v>
      </c>
      <c r="AP396">
        <v>12.3</v>
      </c>
      <c r="AQ396">
        <v>6</v>
      </c>
    </row>
    <row r="397" spans="1:43" x14ac:dyDescent="0.3">
      <c r="A397">
        <v>396</v>
      </c>
      <c r="B397" t="s">
        <v>1261</v>
      </c>
      <c r="C397">
        <v>2024</v>
      </c>
      <c r="D397" t="s">
        <v>1258</v>
      </c>
      <c r="E397">
        <v>2</v>
      </c>
      <c r="F397" t="s">
        <v>1139</v>
      </c>
      <c r="G397" t="s">
        <v>1055</v>
      </c>
      <c r="H397" t="s">
        <v>100</v>
      </c>
      <c r="I397" t="s">
        <v>1262</v>
      </c>
      <c r="J397" t="s">
        <v>65</v>
      </c>
      <c r="K397">
        <v>4.2</v>
      </c>
      <c r="L397">
        <v>10.199999999999999</v>
      </c>
      <c r="M397">
        <v>34.6</v>
      </c>
      <c r="N397">
        <v>6700</v>
      </c>
      <c r="O397">
        <v>168366</v>
      </c>
      <c r="P397">
        <v>34.6</v>
      </c>
      <c r="Q397">
        <v>389</v>
      </c>
      <c r="R397">
        <v>40.4</v>
      </c>
      <c r="S397">
        <v>3.08</v>
      </c>
      <c r="T397" t="s">
        <v>77</v>
      </c>
      <c r="U397">
        <v>28400</v>
      </c>
      <c r="V397">
        <v>1</v>
      </c>
      <c r="W397">
        <v>2</v>
      </c>
      <c r="X397">
        <v>1512</v>
      </c>
      <c r="Y397">
        <v>21.9</v>
      </c>
      <c r="Z397" t="s">
        <v>457</v>
      </c>
      <c r="AA397">
        <v>57</v>
      </c>
      <c r="AB397">
        <v>43</v>
      </c>
      <c r="AC397" t="s">
        <v>53</v>
      </c>
      <c r="AD397">
        <v>17571</v>
      </c>
      <c r="AE397">
        <v>9888</v>
      </c>
      <c r="AF397">
        <v>1091.56</v>
      </c>
      <c r="AG397">
        <v>3</v>
      </c>
      <c r="AH397">
        <v>629</v>
      </c>
      <c r="AI397">
        <v>33.960999999999999</v>
      </c>
      <c r="AJ397">
        <v>16.54</v>
      </c>
      <c r="AK397">
        <v>18.73</v>
      </c>
      <c r="AL397">
        <v>12.02</v>
      </c>
      <c r="AM397">
        <v>721</v>
      </c>
      <c r="AN397">
        <v>48.61</v>
      </c>
      <c r="AO397">
        <v>36.92</v>
      </c>
      <c r="AP397">
        <v>21.9</v>
      </c>
      <c r="AQ397">
        <v>1</v>
      </c>
    </row>
    <row r="398" spans="1:43" x14ac:dyDescent="0.3">
      <c r="A398">
        <v>397</v>
      </c>
      <c r="B398" t="s">
        <v>1263</v>
      </c>
      <c r="C398">
        <v>2024</v>
      </c>
      <c r="D398" t="s">
        <v>1258</v>
      </c>
      <c r="E398">
        <v>1</v>
      </c>
      <c r="F398" t="s">
        <v>1139</v>
      </c>
      <c r="G398" t="s">
        <v>1264</v>
      </c>
      <c r="H398" t="s">
        <v>48</v>
      </c>
      <c r="I398" t="s">
        <v>1265</v>
      </c>
      <c r="J398" t="s">
        <v>50</v>
      </c>
      <c r="K398">
        <v>17.8</v>
      </c>
      <c r="L398">
        <v>5.2</v>
      </c>
      <c r="M398">
        <v>5.3</v>
      </c>
      <c r="N398">
        <v>27531</v>
      </c>
      <c r="O398">
        <v>327</v>
      </c>
      <c r="P398">
        <v>5.3</v>
      </c>
      <c r="Q398">
        <v>282</v>
      </c>
      <c r="R398">
        <v>157</v>
      </c>
      <c r="S398">
        <v>6.9961489088575093E-2</v>
      </c>
      <c r="T398" t="s">
        <v>77</v>
      </c>
      <c r="U398">
        <v>91494</v>
      </c>
      <c r="V398">
        <v>5</v>
      </c>
      <c r="W398">
        <v>5</v>
      </c>
      <c r="X398">
        <v>4674</v>
      </c>
      <c r="Y398">
        <v>18.2</v>
      </c>
      <c r="Z398" t="s">
        <v>326</v>
      </c>
      <c r="AA398">
        <v>61</v>
      </c>
      <c r="AB398">
        <v>39</v>
      </c>
      <c r="AC398" t="s">
        <v>53</v>
      </c>
      <c r="AD398">
        <v>70102</v>
      </c>
      <c r="AE398">
        <v>21410</v>
      </c>
      <c r="AF398">
        <v>1033</v>
      </c>
      <c r="AG398">
        <v>3</v>
      </c>
      <c r="AH398">
        <v>964</v>
      </c>
      <c r="AI398">
        <v>28.842333333333329</v>
      </c>
      <c r="AJ398">
        <v>18.05</v>
      </c>
      <c r="AK398">
        <v>8.5</v>
      </c>
      <c r="AL398">
        <v>6</v>
      </c>
      <c r="AM398">
        <v>721</v>
      </c>
      <c r="AN398">
        <v>48.61</v>
      </c>
      <c r="AO398">
        <v>65.98</v>
      </c>
      <c r="AP398">
        <v>18.2</v>
      </c>
      <c r="AQ398">
        <v>5</v>
      </c>
    </row>
    <row r="399" spans="1:43" x14ac:dyDescent="0.3">
      <c r="A399">
        <v>398</v>
      </c>
      <c r="B399" t="s">
        <v>1266</v>
      </c>
      <c r="C399">
        <v>2024</v>
      </c>
      <c r="D399" t="s">
        <v>1258</v>
      </c>
      <c r="E399">
        <v>122</v>
      </c>
      <c r="F399" t="s">
        <v>1139</v>
      </c>
      <c r="G399" t="s">
        <v>63</v>
      </c>
      <c r="H399" t="s">
        <v>64</v>
      </c>
      <c r="I399" t="s">
        <v>1267</v>
      </c>
      <c r="J399" t="s">
        <v>50</v>
      </c>
      <c r="K399">
        <v>17.7</v>
      </c>
      <c r="L399">
        <v>8.6</v>
      </c>
      <c r="M399">
        <v>24</v>
      </c>
      <c r="N399">
        <v>5465</v>
      </c>
      <c r="O399">
        <v>405</v>
      </c>
      <c r="P399">
        <v>24</v>
      </c>
      <c r="Q399">
        <v>164</v>
      </c>
      <c r="R399">
        <v>592</v>
      </c>
      <c r="S399">
        <v>255.84333543903981</v>
      </c>
      <c r="T399" t="s">
        <v>51</v>
      </c>
      <c r="U399">
        <v>21185</v>
      </c>
      <c r="V399">
        <v>6</v>
      </c>
      <c r="W399">
        <v>5</v>
      </c>
      <c r="X399">
        <v>1.583</v>
      </c>
      <c r="Y399">
        <v>13</v>
      </c>
      <c r="Z399" t="s">
        <v>146</v>
      </c>
      <c r="AA399">
        <v>59</v>
      </c>
      <c r="AB399">
        <v>41</v>
      </c>
      <c r="AC399" t="s">
        <v>53</v>
      </c>
      <c r="AD399">
        <v>14576</v>
      </c>
      <c r="AE399">
        <v>8083</v>
      </c>
      <c r="AF399">
        <v>647.61</v>
      </c>
      <c r="AG399">
        <v>98</v>
      </c>
      <c r="AH399">
        <v>2</v>
      </c>
      <c r="AI399">
        <v>56.843244897959181</v>
      </c>
      <c r="AJ399">
        <v>29.74</v>
      </c>
      <c r="AK399">
        <v>38.11</v>
      </c>
      <c r="AL399">
        <v>19.260000000000002</v>
      </c>
      <c r="AM399">
        <v>721</v>
      </c>
      <c r="AN399">
        <v>48.61</v>
      </c>
      <c r="AO399">
        <v>251.2</v>
      </c>
      <c r="AP399">
        <v>13</v>
      </c>
      <c r="AQ399">
        <v>6</v>
      </c>
    </row>
    <row r="400" spans="1:43" x14ac:dyDescent="0.3">
      <c r="A400">
        <v>399</v>
      </c>
      <c r="B400" t="s">
        <v>1268</v>
      </c>
      <c r="C400">
        <v>2024</v>
      </c>
      <c r="D400" t="s">
        <v>1269</v>
      </c>
      <c r="E400">
        <v>22</v>
      </c>
      <c r="F400" t="s">
        <v>1139</v>
      </c>
      <c r="G400" t="s">
        <v>755</v>
      </c>
      <c r="H400" t="s">
        <v>48</v>
      </c>
      <c r="I400" t="s">
        <v>1270</v>
      </c>
      <c r="J400" t="s">
        <v>50</v>
      </c>
      <c r="K400">
        <v>15.8</v>
      </c>
      <c r="L400">
        <v>8.6999999999999993</v>
      </c>
      <c r="M400">
        <v>5</v>
      </c>
      <c r="N400">
        <v>7089</v>
      </c>
      <c r="O400">
        <v>63254</v>
      </c>
      <c r="P400">
        <v>5</v>
      </c>
      <c r="Q400">
        <v>298</v>
      </c>
      <c r="R400">
        <v>35.1</v>
      </c>
      <c r="S400">
        <v>3.16</v>
      </c>
      <c r="T400" t="s">
        <v>58</v>
      </c>
      <c r="U400">
        <v>33268</v>
      </c>
      <c r="V400">
        <v>6</v>
      </c>
      <c r="W400">
        <v>7</v>
      </c>
      <c r="X400">
        <v>2.8079999999999998</v>
      </c>
      <c r="Y400">
        <v>25</v>
      </c>
      <c r="Z400" t="s">
        <v>859</v>
      </c>
      <c r="AA400">
        <v>68</v>
      </c>
      <c r="AB400">
        <v>32</v>
      </c>
      <c r="AC400" t="s">
        <v>53</v>
      </c>
      <c r="AD400">
        <v>19130</v>
      </c>
      <c r="AE400">
        <v>10875</v>
      </c>
      <c r="AF400">
        <v>1260.32</v>
      </c>
      <c r="AG400">
        <v>8</v>
      </c>
      <c r="AH400">
        <v>614</v>
      </c>
      <c r="AI400">
        <v>28.03875</v>
      </c>
      <c r="AJ400">
        <v>23.47</v>
      </c>
      <c r="AK400">
        <v>21.97</v>
      </c>
      <c r="AL400">
        <v>11.88</v>
      </c>
      <c r="AM400">
        <v>731</v>
      </c>
      <c r="AN400">
        <v>47.89</v>
      </c>
      <c r="AO400">
        <v>17.04</v>
      </c>
      <c r="AP400">
        <v>25</v>
      </c>
      <c r="AQ400">
        <v>6</v>
      </c>
    </row>
    <row r="401" spans="1:43" x14ac:dyDescent="0.3">
      <c r="A401">
        <v>400</v>
      </c>
      <c r="B401" t="s">
        <v>1271</v>
      </c>
      <c r="C401">
        <v>2024</v>
      </c>
      <c r="D401" t="s">
        <v>1269</v>
      </c>
      <c r="E401">
        <v>19</v>
      </c>
      <c r="F401" t="s">
        <v>1139</v>
      </c>
      <c r="G401" t="s">
        <v>532</v>
      </c>
      <c r="H401" t="s">
        <v>100</v>
      </c>
      <c r="I401" t="s">
        <v>532</v>
      </c>
      <c r="J401" t="s">
        <v>1272</v>
      </c>
      <c r="K401">
        <v>3.9</v>
      </c>
      <c r="L401">
        <v>3.2</v>
      </c>
      <c r="M401">
        <v>10.7</v>
      </c>
      <c r="N401">
        <v>841</v>
      </c>
      <c r="O401">
        <v>2703</v>
      </c>
      <c r="P401">
        <v>10.7</v>
      </c>
      <c r="Q401">
        <v>48</v>
      </c>
      <c r="R401">
        <v>14.8</v>
      </c>
      <c r="S401">
        <v>3.23</v>
      </c>
      <c r="T401" t="s">
        <v>58</v>
      </c>
      <c r="U401">
        <v>3274</v>
      </c>
      <c r="V401">
        <v>32</v>
      </c>
      <c r="W401">
        <v>37</v>
      </c>
      <c r="X401">
        <v>260</v>
      </c>
      <c r="Y401">
        <v>10.8</v>
      </c>
      <c r="Z401" t="s">
        <v>116</v>
      </c>
      <c r="AA401">
        <v>58</v>
      </c>
      <c r="AB401">
        <v>42</v>
      </c>
      <c r="AC401" t="s">
        <v>53</v>
      </c>
      <c r="AD401">
        <v>2407</v>
      </c>
      <c r="AE401">
        <v>1036</v>
      </c>
      <c r="AF401">
        <v>788.07</v>
      </c>
      <c r="AG401">
        <v>9</v>
      </c>
      <c r="AH401">
        <v>424</v>
      </c>
      <c r="AI401">
        <v>39.266333333333343</v>
      </c>
      <c r="AJ401">
        <v>28.29</v>
      </c>
      <c r="AK401">
        <v>30.02</v>
      </c>
      <c r="AL401">
        <v>13.2</v>
      </c>
      <c r="AM401">
        <v>731</v>
      </c>
      <c r="AN401">
        <v>47.89</v>
      </c>
      <c r="AO401">
        <v>12.34</v>
      </c>
      <c r="AP401">
        <v>10.8</v>
      </c>
      <c r="AQ401">
        <v>32</v>
      </c>
    </row>
    <row r="402" spans="1:43" x14ac:dyDescent="0.3">
      <c r="A402">
        <v>401</v>
      </c>
      <c r="B402" t="s">
        <v>1273</v>
      </c>
      <c r="C402">
        <v>2024</v>
      </c>
      <c r="D402" t="s">
        <v>1269</v>
      </c>
      <c r="E402">
        <v>80</v>
      </c>
      <c r="F402" t="s">
        <v>1139</v>
      </c>
      <c r="G402" t="s">
        <v>47</v>
      </c>
      <c r="H402" t="s">
        <v>48</v>
      </c>
      <c r="I402" t="s">
        <v>1274</v>
      </c>
      <c r="J402" t="s">
        <v>50</v>
      </c>
      <c r="K402">
        <v>5.7</v>
      </c>
      <c r="L402">
        <v>8.3000000000000007</v>
      </c>
      <c r="M402">
        <v>17.399999999999999</v>
      </c>
      <c r="N402">
        <v>5413</v>
      </c>
      <c r="O402">
        <v>31233</v>
      </c>
      <c r="P402">
        <v>17.399999999999999</v>
      </c>
      <c r="Q402">
        <v>193</v>
      </c>
      <c r="R402">
        <v>18.7</v>
      </c>
      <c r="S402">
        <v>4.24</v>
      </c>
      <c r="T402" t="s">
        <v>71</v>
      </c>
      <c r="U402">
        <v>14260</v>
      </c>
      <c r="V402">
        <v>21</v>
      </c>
      <c r="W402">
        <v>24</v>
      </c>
      <c r="X402">
        <v>773</v>
      </c>
      <c r="Y402">
        <v>19.100000000000001</v>
      </c>
      <c r="Z402" t="s">
        <v>337</v>
      </c>
      <c r="AA402">
        <v>54</v>
      </c>
      <c r="AB402">
        <v>46</v>
      </c>
      <c r="AC402" t="s">
        <v>53</v>
      </c>
      <c r="AD402">
        <v>10865</v>
      </c>
      <c r="AE402">
        <v>4740</v>
      </c>
      <c r="AF402">
        <v>614.48</v>
      </c>
      <c r="AG402">
        <v>69</v>
      </c>
      <c r="AH402">
        <v>1</v>
      </c>
      <c r="AI402">
        <v>50.817340579710141</v>
      </c>
      <c r="AJ402">
        <v>35.82</v>
      </c>
      <c r="AK402">
        <v>38.92</v>
      </c>
      <c r="AL402">
        <v>35.29</v>
      </c>
      <c r="AM402">
        <v>731</v>
      </c>
      <c r="AN402">
        <v>47.89</v>
      </c>
      <c r="AO402">
        <v>17.920000000000002</v>
      </c>
      <c r="AP402">
        <v>19.100000000000001</v>
      </c>
      <c r="AQ402">
        <v>21</v>
      </c>
    </row>
    <row r="403" spans="1:43" x14ac:dyDescent="0.3">
      <c r="A403">
        <v>402</v>
      </c>
      <c r="B403" t="s">
        <v>1275</v>
      </c>
      <c r="C403">
        <v>2024</v>
      </c>
      <c r="D403" t="s">
        <v>1269</v>
      </c>
      <c r="E403">
        <v>20</v>
      </c>
      <c r="F403" t="s">
        <v>1139</v>
      </c>
      <c r="G403" t="s">
        <v>384</v>
      </c>
      <c r="H403" t="s">
        <v>48</v>
      </c>
      <c r="I403" t="s">
        <v>1276</v>
      </c>
      <c r="J403" t="s">
        <v>50</v>
      </c>
      <c r="K403">
        <v>12.5</v>
      </c>
      <c r="L403">
        <v>2.6</v>
      </c>
      <c r="M403">
        <v>33.200000000000003</v>
      </c>
      <c r="N403">
        <v>1746</v>
      </c>
      <c r="O403">
        <v>304</v>
      </c>
      <c r="P403">
        <v>33.200000000000003</v>
      </c>
      <c r="Q403">
        <v>159</v>
      </c>
      <c r="R403">
        <v>506</v>
      </c>
      <c r="S403">
        <v>0.41025641025641019</v>
      </c>
      <c r="T403" t="s">
        <v>58</v>
      </c>
      <c r="U403">
        <v>13115</v>
      </c>
      <c r="V403">
        <v>10</v>
      </c>
      <c r="W403">
        <v>9</v>
      </c>
      <c r="X403">
        <v>741</v>
      </c>
      <c r="Y403">
        <v>18.100000000000001</v>
      </c>
      <c r="Z403" t="s">
        <v>521</v>
      </c>
      <c r="AA403">
        <v>63</v>
      </c>
      <c r="AB403">
        <v>37</v>
      </c>
      <c r="AC403" t="s">
        <v>53</v>
      </c>
      <c r="AD403">
        <v>6777</v>
      </c>
      <c r="AE403">
        <v>3703</v>
      </c>
      <c r="AF403">
        <v>644.77</v>
      </c>
      <c r="AG403">
        <v>18</v>
      </c>
      <c r="AH403">
        <v>181</v>
      </c>
      <c r="AI403">
        <v>47.393000000000001</v>
      </c>
      <c r="AJ403">
        <v>35.17</v>
      </c>
      <c r="AK403">
        <v>47.49</v>
      </c>
      <c r="AL403">
        <v>13.04</v>
      </c>
      <c r="AM403">
        <v>731</v>
      </c>
      <c r="AN403">
        <v>47.89</v>
      </c>
      <c r="AO403">
        <v>222.32</v>
      </c>
      <c r="AP403">
        <v>18.100000000000001</v>
      </c>
      <c r="AQ403">
        <v>10</v>
      </c>
    </row>
    <row r="404" spans="1:43" x14ac:dyDescent="0.3">
      <c r="A404">
        <v>403</v>
      </c>
      <c r="B404" t="s">
        <v>1277</v>
      </c>
      <c r="C404">
        <v>2024</v>
      </c>
      <c r="D404" t="s">
        <v>1278</v>
      </c>
      <c r="E404">
        <v>5</v>
      </c>
      <c r="F404" t="s">
        <v>1139</v>
      </c>
      <c r="G404" t="s">
        <v>1142</v>
      </c>
      <c r="H404" t="s">
        <v>48</v>
      </c>
      <c r="I404" t="s">
        <v>1245</v>
      </c>
      <c r="J404" t="s">
        <v>50</v>
      </c>
      <c r="K404">
        <v>14.3</v>
      </c>
      <c r="L404">
        <v>19.399999999999999</v>
      </c>
      <c r="M404">
        <v>8.9</v>
      </c>
      <c r="N404">
        <v>4868</v>
      </c>
      <c r="O404">
        <v>673</v>
      </c>
      <c r="P404">
        <v>8.9</v>
      </c>
      <c r="Q404">
        <v>112</v>
      </c>
      <c r="R404">
        <v>767</v>
      </c>
      <c r="S404">
        <v>509.84848484848482</v>
      </c>
      <c r="T404" t="s">
        <v>96</v>
      </c>
      <c r="U404">
        <v>18621</v>
      </c>
      <c r="V404">
        <v>13</v>
      </c>
      <c r="W404">
        <v>15</v>
      </c>
      <c r="X404">
        <v>1.32</v>
      </c>
      <c r="Y404">
        <v>16.899999999999999</v>
      </c>
      <c r="Z404" t="s">
        <v>182</v>
      </c>
      <c r="AA404">
        <v>32</v>
      </c>
      <c r="AB404">
        <v>68</v>
      </c>
      <c r="AC404" t="s">
        <v>53</v>
      </c>
      <c r="AD404">
        <v>13765</v>
      </c>
      <c r="AE404">
        <v>4891</v>
      </c>
      <c r="AF404">
        <v>969.17</v>
      </c>
      <c r="AG404">
        <v>8</v>
      </c>
      <c r="AH404">
        <v>779</v>
      </c>
      <c r="AI404">
        <v>28.816500000000001</v>
      </c>
      <c r="AJ404">
        <v>22.44</v>
      </c>
      <c r="AK404">
        <v>17.559999999999999</v>
      </c>
      <c r="AL404">
        <v>17.809999999999999</v>
      </c>
      <c r="AM404">
        <v>741</v>
      </c>
      <c r="AN404">
        <v>47.18</v>
      </c>
      <c r="AO404">
        <v>312.14</v>
      </c>
      <c r="AP404">
        <v>16.899999999999999</v>
      </c>
      <c r="AQ404">
        <v>13</v>
      </c>
    </row>
    <row r="405" spans="1:43" x14ac:dyDescent="0.3">
      <c r="A405">
        <v>404</v>
      </c>
      <c r="B405" t="s">
        <v>1279</v>
      </c>
      <c r="C405">
        <v>2024</v>
      </c>
      <c r="D405" t="s">
        <v>1278</v>
      </c>
      <c r="E405">
        <v>6</v>
      </c>
      <c r="F405" t="s">
        <v>1139</v>
      </c>
      <c r="G405" t="s">
        <v>1209</v>
      </c>
      <c r="H405" t="s">
        <v>1210</v>
      </c>
      <c r="I405" t="s">
        <v>1280</v>
      </c>
      <c r="J405" t="s">
        <v>50</v>
      </c>
      <c r="K405">
        <v>20.399999999999999</v>
      </c>
      <c r="L405">
        <v>40.200000000000003</v>
      </c>
      <c r="M405">
        <v>2.1</v>
      </c>
      <c r="N405">
        <v>21852</v>
      </c>
      <c r="O405">
        <v>20461</v>
      </c>
      <c r="P405">
        <v>2.1</v>
      </c>
      <c r="Q405">
        <v>146</v>
      </c>
      <c r="R405">
        <v>14.8</v>
      </c>
      <c r="S405">
        <v>3.29</v>
      </c>
      <c r="T405" t="s">
        <v>77</v>
      </c>
      <c r="U405">
        <v>141583</v>
      </c>
      <c r="V405">
        <v>0</v>
      </c>
      <c r="W405">
        <v>0</v>
      </c>
      <c r="X405">
        <v>8.2620000000000005</v>
      </c>
      <c r="Y405">
        <v>13</v>
      </c>
      <c r="Z405" t="s">
        <v>78</v>
      </c>
      <c r="AA405">
        <v>44</v>
      </c>
      <c r="AB405">
        <v>56</v>
      </c>
      <c r="AC405" t="s">
        <v>53</v>
      </c>
      <c r="AD405">
        <v>100330</v>
      </c>
      <c r="AE405">
        <v>38904</v>
      </c>
      <c r="AF405">
        <v>1402.96</v>
      </c>
      <c r="AG405">
        <v>3</v>
      </c>
      <c r="AH405">
        <v>1741</v>
      </c>
      <c r="AI405">
        <v>16.540166666666661</v>
      </c>
      <c r="AJ405">
        <v>21.31</v>
      </c>
      <c r="AK405">
        <v>8.9600000000000009</v>
      </c>
      <c r="AL405">
        <v>11.19</v>
      </c>
      <c r="AM405">
        <v>741</v>
      </c>
      <c r="AN405">
        <v>47.18</v>
      </c>
      <c r="AO405">
        <v>7.18</v>
      </c>
      <c r="AP405">
        <v>13</v>
      </c>
      <c r="AQ405">
        <v>0</v>
      </c>
    </row>
    <row r="406" spans="1:43" x14ac:dyDescent="0.3">
      <c r="A406">
        <v>405</v>
      </c>
      <c r="B406" t="s">
        <v>1281</v>
      </c>
      <c r="C406">
        <v>2024</v>
      </c>
      <c r="D406" t="s">
        <v>1278</v>
      </c>
      <c r="E406">
        <v>9</v>
      </c>
      <c r="F406" t="s">
        <v>1139</v>
      </c>
      <c r="G406" t="s">
        <v>590</v>
      </c>
      <c r="H406" t="s">
        <v>100</v>
      </c>
      <c r="I406" t="s">
        <v>1282</v>
      </c>
      <c r="J406" t="s">
        <v>50</v>
      </c>
      <c r="K406">
        <v>16.3</v>
      </c>
      <c r="L406">
        <v>5.0999999999999996</v>
      </c>
      <c r="M406">
        <v>37.9</v>
      </c>
      <c r="N406">
        <v>2219</v>
      </c>
      <c r="O406">
        <v>460</v>
      </c>
      <c r="P406">
        <v>37.9</v>
      </c>
      <c r="Q406">
        <v>211</v>
      </c>
      <c r="R406">
        <v>659</v>
      </c>
      <c r="S406">
        <v>0.64066852367688021</v>
      </c>
      <c r="T406" t="s">
        <v>71</v>
      </c>
      <c r="U406">
        <v>14338</v>
      </c>
      <c r="V406">
        <v>0</v>
      </c>
      <c r="W406">
        <v>0</v>
      </c>
      <c r="X406">
        <v>718</v>
      </c>
      <c r="Y406">
        <v>21.3</v>
      </c>
      <c r="Z406" t="s">
        <v>182</v>
      </c>
      <c r="AA406">
        <v>32</v>
      </c>
      <c r="AB406">
        <v>68</v>
      </c>
      <c r="AC406" t="s">
        <v>53</v>
      </c>
      <c r="AD406">
        <v>7022</v>
      </c>
      <c r="AE406">
        <v>5525</v>
      </c>
      <c r="AF406">
        <v>1100.42</v>
      </c>
      <c r="AG406">
        <v>16</v>
      </c>
      <c r="AH406">
        <v>218</v>
      </c>
      <c r="AI406">
        <v>38.128875000000001</v>
      </c>
      <c r="AJ406">
        <v>27.22</v>
      </c>
      <c r="AK406">
        <v>36.06</v>
      </c>
      <c r="AL406">
        <v>6.8</v>
      </c>
      <c r="AM406">
        <v>741</v>
      </c>
      <c r="AN406">
        <v>47.18</v>
      </c>
      <c r="AO406">
        <v>286.33999999999997</v>
      </c>
      <c r="AP406">
        <v>21.3</v>
      </c>
      <c r="AQ406">
        <v>0</v>
      </c>
    </row>
    <row r="407" spans="1:43" x14ac:dyDescent="0.3">
      <c r="A407">
        <v>406</v>
      </c>
      <c r="B407" t="s">
        <v>1283</v>
      </c>
      <c r="C407">
        <v>2024</v>
      </c>
      <c r="D407" t="s">
        <v>1278</v>
      </c>
      <c r="E407">
        <v>4</v>
      </c>
      <c r="F407" t="s">
        <v>1139</v>
      </c>
      <c r="G407" t="s">
        <v>775</v>
      </c>
      <c r="H407" t="s">
        <v>100</v>
      </c>
      <c r="I407" t="s">
        <v>1284</v>
      </c>
      <c r="J407" t="s">
        <v>50</v>
      </c>
      <c r="K407">
        <v>14.2</v>
      </c>
      <c r="L407">
        <v>52.3</v>
      </c>
      <c r="M407">
        <v>9.8000000000000007</v>
      </c>
      <c r="N407">
        <v>8191</v>
      </c>
      <c r="O407">
        <v>40968</v>
      </c>
      <c r="P407">
        <v>9.8000000000000007</v>
      </c>
      <c r="Q407">
        <v>187</v>
      </c>
      <c r="R407">
        <v>23.4</v>
      </c>
      <c r="S407">
        <v>4.76</v>
      </c>
      <c r="T407" t="s">
        <v>51</v>
      </c>
      <c r="U407">
        <v>28692</v>
      </c>
      <c r="V407">
        <v>1</v>
      </c>
      <c r="W407">
        <v>1</v>
      </c>
      <c r="X407">
        <v>1340</v>
      </c>
      <c r="Y407">
        <v>22</v>
      </c>
      <c r="Z407" t="s">
        <v>185</v>
      </c>
      <c r="AA407">
        <v>62</v>
      </c>
      <c r="AB407">
        <v>38</v>
      </c>
      <c r="AC407" t="s">
        <v>53</v>
      </c>
      <c r="AD407">
        <v>19141</v>
      </c>
      <c r="AE407">
        <v>9538</v>
      </c>
      <c r="AF407">
        <v>1036.01</v>
      </c>
      <c r="AG407">
        <v>6</v>
      </c>
      <c r="AH407">
        <v>486</v>
      </c>
      <c r="AI407">
        <v>33.59258333333333</v>
      </c>
      <c r="AJ407">
        <v>26.97</v>
      </c>
      <c r="AK407">
        <v>32.47</v>
      </c>
      <c r="AL407">
        <v>4.6900000000000004</v>
      </c>
      <c r="AM407">
        <v>741</v>
      </c>
      <c r="AN407">
        <v>47.18</v>
      </c>
      <c r="AO407">
        <v>15.24</v>
      </c>
      <c r="AP407">
        <v>22</v>
      </c>
      <c r="AQ407">
        <v>1</v>
      </c>
    </row>
    <row r="408" spans="1:43" x14ac:dyDescent="0.3">
      <c r="A408">
        <v>407</v>
      </c>
      <c r="B408" t="s">
        <v>1285</v>
      </c>
      <c r="C408">
        <v>2024</v>
      </c>
      <c r="D408" t="s">
        <v>1278</v>
      </c>
      <c r="E408">
        <v>83</v>
      </c>
      <c r="F408" t="s">
        <v>1139</v>
      </c>
      <c r="G408" t="s">
        <v>47</v>
      </c>
      <c r="H408" t="s">
        <v>48</v>
      </c>
      <c r="I408" t="s">
        <v>206</v>
      </c>
      <c r="J408" t="s">
        <v>50</v>
      </c>
      <c r="K408">
        <v>9.1999999999999993</v>
      </c>
      <c r="L408">
        <v>9.4</v>
      </c>
      <c r="M408">
        <v>10.8</v>
      </c>
      <c r="N408">
        <v>9755</v>
      </c>
      <c r="O408">
        <v>24379</v>
      </c>
      <c r="P408">
        <v>10.8</v>
      </c>
      <c r="Q408">
        <v>144</v>
      </c>
      <c r="R408">
        <v>10.4</v>
      </c>
      <c r="S408">
        <v>3.73</v>
      </c>
      <c r="T408" t="s">
        <v>58</v>
      </c>
      <c r="U408">
        <v>26890</v>
      </c>
      <c r="V408">
        <v>25</v>
      </c>
      <c r="W408">
        <v>29</v>
      </c>
      <c r="X408">
        <v>1568</v>
      </c>
      <c r="Y408">
        <v>15.9</v>
      </c>
      <c r="Z408" t="s">
        <v>185</v>
      </c>
      <c r="AA408">
        <v>52</v>
      </c>
      <c r="AB408">
        <v>48</v>
      </c>
      <c r="AC408" t="s">
        <v>53</v>
      </c>
      <c r="AD408">
        <v>19879</v>
      </c>
      <c r="AE408">
        <v>9801</v>
      </c>
      <c r="AF408">
        <v>552.13</v>
      </c>
      <c r="AG408">
        <v>69</v>
      </c>
      <c r="AH408">
        <v>1</v>
      </c>
      <c r="AI408">
        <v>50.817340579710141</v>
      </c>
      <c r="AJ408">
        <v>32.090000000000003</v>
      </c>
      <c r="AK408">
        <v>34.619999999999997</v>
      </c>
      <c r="AL408">
        <v>32.340000000000003</v>
      </c>
      <c r="AM408">
        <v>741</v>
      </c>
      <c r="AN408">
        <v>47.18</v>
      </c>
      <c r="AO408">
        <v>10.64</v>
      </c>
      <c r="AP408">
        <v>15.9</v>
      </c>
      <c r="AQ408">
        <v>25</v>
      </c>
    </row>
    <row r="409" spans="1:43" x14ac:dyDescent="0.3">
      <c r="A409">
        <v>408</v>
      </c>
      <c r="B409" t="s">
        <v>1286</v>
      </c>
      <c r="C409">
        <v>2024</v>
      </c>
      <c r="D409" t="s">
        <v>1287</v>
      </c>
      <c r="E409">
        <v>5</v>
      </c>
      <c r="F409" t="s">
        <v>1139</v>
      </c>
      <c r="G409" t="s">
        <v>555</v>
      </c>
      <c r="H409" t="s">
        <v>100</v>
      </c>
      <c r="I409" t="s">
        <v>556</v>
      </c>
      <c r="J409" t="s">
        <v>50</v>
      </c>
      <c r="K409">
        <v>24.3</v>
      </c>
      <c r="L409">
        <v>21.8</v>
      </c>
      <c r="M409">
        <v>2.5</v>
      </c>
      <c r="N409">
        <v>27847</v>
      </c>
      <c r="O409">
        <v>23467</v>
      </c>
      <c r="P409">
        <v>2.5</v>
      </c>
      <c r="Q409">
        <v>147</v>
      </c>
      <c r="R409">
        <v>21</v>
      </c>
      <c r="S409">
        <v>3.83</v>
      </c>
      <c r="T409" t="s">
        <v>71</v>
      </c>
      <c r="U409">
        <v>70633</v>
      </c>
      <c r="V409">
        <v>1</v>
      </c>
      <c r="W409">
        <v>1</v>
      </c>
      <c r="X409">
        <v>3.4889999999999999</v>
      </c>
      <c r="Y409">
        <v>18.7</v>
      </c>
      <c r="Z409" t="s">
        <v>326</v>
      </c>
      <c r="AA409">
        <v>61</v>
      </c>
      <c r="AB409">
        <v>39</v>
      </c>
      <c r="AC409" t="s">
        <v>53</v>
      </c>
      <c r="AD409">
        <v>46288</v>
      </c>
      <c r="AE409">
        <v>23539</v>
      </c>
      <c r="AF409">
        <v>1257.07</v>
      </c>
      <c r="AG409">
        <v>10</v>
      </c>
      <c r="AH409">
        <v>612</v>
      </c>
      <c r="AI409">
        <v>27.2866</v>
      </c>
      <c r="AJ409">
        <v>27.35</v>
      </c>
      <c r="AK409">
        <v>13.88</v>
      </c>
      <c r="AL409">
        <v>3.81</v>
      </c>
      <c r="AM409">
        <v>751</v>
      </c>
      <c r="AN409">
        <v>46.46</v>
      </c>
      <c r="AO409">
        <v>9.9</v>
      </c>
      <c r="AP409">
        <v>18.7</v>
      </c>
      <c r="AQ409">
        <v>1</v>
      </c>
    </row>
    <row r="410" spans="1:43" x14ac:dyDescent="0.3">
      <c r="A410">
        <v>409</v>
      </c>
      <c r="B410" t="s">
        <v>1288</v>
      </c>
      <c r="C410">
        <v>2024</v>
      </c>
      <c r="D410" t="s">
        <v>1287</v>
      </c>
      <c r="E410">
        <v>47</v>
      </c>
      <c r="F410" t="s">
        <v>1139</v>
      </c>
      <c r="G410" t="s">
        <v>47</v>
      </c>
      <c r="H410" t="s">
        <v>48</v>
      </c>
      <c r="I410" t="s">
        <v>1289</v>
      </c>
      <c r="J410" t="s">
        <v>50</v>
      </c>
      <c r="K410">
        <v>9.9</v>
      </c>
      <c r="L410">
        <v>6.8</v>
      </c>
      <c r="M410">
        <v>14.5</v>
      </c>
      <c r="N410">
        <v>6848</v>
      </c>
      <c r="O410">
        <v>673</v>
      </c>
      <c r="P410">
        <v>14.5</v>
      </c>
      <c r="Q410">
        <v>149</v>
      </c>
      <c r="R410">
        <v>885</v>
      </c>
      <c r="S410">
        <v>492.31894659839071</v>
      </c>
      <c r="T410" t="s">
        <v>77</v>
      </c>
      <c r="U410">
        <v>23200</v>
      </c>
      <c r="V410">
        <v>16</v>
      </c>
      <c r="W410">
        <v>16</v>
      </c>
      <c r="X410">
        <v>1.367</v>
      </c>
      <c r="Y410">
        <v>18.100000000000001</v>
      </c>
      <c r="Z410" t="s">
        <v>87</v>
      </c>
      <c r="AA410">
        <v>57</v>
      </c>
      <c r="AB410">
        <v>43</v>
      </c>
      <c r="AC410" t="s">
        <v>53</v>
      </c>
      <c r="AD410">
        <v>17697</v>
      </c>
      <c r="AE410">
        <v>6718</v>
      </c>
      <c r="AF410">
        <v>614.48</v>
      </c>
      <c r="AG410">
        <v>69</v>
      </c>
      <c r="AH410">
        <v>1</v>
      </c>
      <c r="AI410">
        <v>50.817340579710141</v>
      </c>
      <c r="AJ410">
        <v>35.82</v>
      </c>
      <c r="AK410">
        <v>38.92</v>
      </c>
      <c r="AL410">
        <v>35.29</v>
      </c>
      <c r="AM410">
        <v>751</v>
      </c>
      <c r="AN410">
        <v>46.46</v>
      </c>
      <c r="AO410">
        <v>362.7</v>
      </c>
      <c r="AP410">
        <v>18.100000000000001</v>
      </c>
      <c r="AQ410">
        <v>16</v>
      </c>
    </row>
    <row r="411" spans="1:43" x14ac:dyDescent="0.3">
      <c r="A411">
        <v>410</v>
      </c>
      <c r="B411" t="s">
        <v>1290</v>
      </c>
      <c r="C411">
        <v>2024</v>
      </c>
      <c r="D411" t="s">
        <v>1287</v>
      </c>
      <c r="E411">
        <v>1</v>
      </c>
      <c r="F411" t="s">
        <v>1139</v>
      </c>
      <c r="G411" t="s">
        <v>1291</v>
      </c>
      <c r="H411" t="s">
        <v>48</v>
      </c>
      <c r="I411" t="s">
        <v>1292</v>
      </c>
      <c r="J411" t="s">
        <v>50</v>
      </c>
      <c r="K411">
        <v>11.4</v>
      </c>
      <c r="L411">
        <v>28.2</v>
      </c>
      <c r="M411">
        <v>2.9</v>
      </c>
      <c r="N411">
        <v>3752</v>
      </c>
      <c r="O411">
        <v>3143</v>
      </c>
      <c r="P411">
        <v>2.9</v>
      </c>
      <c r="Q411">
        <v>46</v>
      </c>
      <c r="R411">
        <v>9.3000000000000007</v>
      </c>
      <c r="S411">
        <v>4.8</v>
      </c>
      <c r="T411" t="s">
        <v>77</v>
      </c>
      <c r="U411">
        <v>10830</v>
      </c>
      <c r="V411">
        <v>22</v>
      </c>
      <c r="W411">
        <v>33</v>
      </c>
      <c r="X411">
        <v>891</v>
      </c>
      <c r="Y411">
        <v>31.7</v>
      </c>
      <c r="Z411" t="s">
        <v>306</v>
      </c>
      <c r="AA411">
        <v>35</v>
      </c>
      <c r="AB411">
        <v>65</v>
      </c>
      <c r="AC411" t="s">
        <v>53</v>
      </c>
      <c r="AD411">
        <v>6639</v>
      </c>
      <c r="AE411">
        <v>3833</v>
      </c>
      <c r="AF411">
        <v>1090.4000000000001</v>
      </c>
      <c r="AG411">
        <v>2</v>
      </c>
      <c r="AH411">
        <v>1081</v>
      </c>
      <c r="AI411">
        <v>30.577999999999999</v>
      </c>
      <c r="AJ411">
        <v>12.43</v>
      </c>
      <c r="AK411">
        <v>12.11</v>
      </c>
      <c r="AL411">
        <v>21.79</v>
      </c>
      <c r="AM411">
        <v>751</v>
      </c>
      <c r="AN411">
        <v>46.46</v>
      </c>
      <c r="AO411">
        <v>5.46</v>
      </c>
      <c r="AP411">
        <v>31.7</v>
      </c>
      <c r="AQ411">
        <v>22</v>
      </c>
    </row>
    <row r="412" spans="1:43" x14ac:dyDescent="0.3">
      <c r="A412">
        <v>411</v>
      </c>
      <c r="B412" t="s">
        <v>1293</v>
      </c>
      <c r="C412">
        <v>2024</v>
      </c>
      <c r="D412" t="s">
        <v>1287</v>
      </c>
      <c r="E412">
        <v>30</v>
      </c>
      <c r="F412" t="s">
        <v>1139</v>
      </c>
      <c r="G412" t="s">
        <v>114</v>
      </c>
      <c r="H412" t="s">
        <v>64</v>
      </c>
      <c r="I412" t="s">
        <v>975</v>
      </c>
      <c r="J412" t="s">
        <v>50</v>
      </c>
      <c r="K412">
        <v>17.3</v>
      </c>
      <c r="L412">
        <v>11.8</v>
      </c>
      <c r="M412">
        <v>16.3</v>
      </c>
      <c r="N412">
        <v>22005</v>
      </c>
      <c r="O412">
        <v>103774</v>
      </c>
      <c r="P412">
        <v>16.3</v>
      </c>
      <c r="Q412">
        <v>350</v>
      </c>
      <c r="R412">
        <v>18.600000000000001</v>
      </c>
      <c r="S412">
        <v>3.84</v>
      </c>
      <c r="T412" t="s">
        <v>96</v>
      </c>
      <c r="U412">
        <v>51748</v>
      </c>
      <c r="V412">
        <v>11</v>
      </c>
      <c r="W412">
        <v>17</v>
      </c>
      <c r="X412">
        <v>1.9079999999999999</v>
      </c>
      <c r="Y412">
        <v>18.399999999999999</v>
      </c>
      <c r="Z412" t="s">
        <v>110</v>
      </c>
      <c r="AA412">
        <v>58</v>
      </c>
      <c r="AB412">
        <v>42</v>
      </c>
      <c r="AC412" t="s">
        <v>53</v>
      </c>
      <c r="AD412">
        <v>36736</v>
      </c>
      <c r="AE412">
        <v>13606</v>
      </c>
      <c r="AF412">
        <v>559.59</v>
      </c>
      <c r="AG412">
        <v>23</v>
      </c>
      <c r="AH412">
        <v>21</v>
      </c>
      <c r="AI412">
        <v>55.883456521739127</v>
      </c>
      <c r="AJ412">
        <v>36.42</v>
      </c>
      <c r="AK412">
        <v>48.16</v>
      </c>
      <c r="AL412">
        <v>22.85</v>
      </c>
      <c r="AM412">
        <v>751</v>
      </c>
      <c r="AN412">
        <v>46.46</v>
      </c>
      <c r="AO412">
        <v>17.22</v>
      </c>
      <c r="AP412">
        <v>18.399999999999999</v>
      </c>
      <c r="AQ412">
        <v>11</v>
      </c>
    </row>
    <row r="413" spans="1:43" x14ac:dyDescent="0.3">
      <c r="A413">
        <v>412</v>
      </c>
      <c r="B413" t="s">
        <v>1294</v>
      </c>
      <c r="C413">
        <v>2024</v>
      </c>
      <c r="D413" t="s">
        <v>1287</v>
      </c>
      <c r="E413">
        <v>1</v>
      </c>
      <c r="F413" t="s">
        <v>1139</v>
      </c>
      <c r="G413" t="s">
        <v>1295</v>
      </c>
      <c r="H413" t="s">
        <v>48</v>
      </c>
      <c r="I413" t="s">
        <v>1296</v>
      </c>
      <c r="J413" t="s">
        <v>50</v>
      </c>
      <c r="K413">
        <v>16.2</v>
      </c>
      <c r="L413">
        <v>4.7</v>
      </c>
      <c r="M413">
        <v>4.2</v>
      </c>
      <c r="N413">
        <v>8776</v>
      </c>
      <c r="O413">
        <v>460</v>
      </c>
      <c r="P413">
        <v>4.2</v>
      </c>
      <c r="Q413">
        <v>161</v>
      </c>
      <c r="R413">
        <v>296</v>
      </c>
      <c r="S413">
        <v>87.469100589465668</v>
      </c>
      <c r="T413" t="s">
        <v>51</v>
      </c>
      <c r="U413">
        <v>58474</v>
      </c>
      <c r="V413">
        <v>3</v>
      </c>
      <c r="W413">
        <v>4</v>
      </c>
      <c r="X413">
        <v>5.2590000000000003</v>
      </c>
      <c r="Y413">
        <v>14.8</v>
      </c>
      <c r="Z413" t="s">
        <v>202</v>
      </c>
      <c r="AA413">
        <v>61</v>
      </c>
      <c r="AB413">
        <v>39</v>
      </c>
      <c r="AC413" t="s">
        <v>53</v>
      </c>
      <c r="AD413">
        <v>40313</v>
      </c>
      <c r="AE413">
        <v>21733</v>
      </c>
      <c r="AF413">
        <v>1102.17</v>
      </c>
      <c r="AG413">
        <v>3</v>
      </c>
      <c r="AH413">
        <v>1096</v>
      </c>
      <c r="AI413">
        <v>26.87866666666666</v>
      </c>
      <c r="AJ413">
        <v>12.7</v>
      </c>
      <c r="AK413">
        <v>8.5299999999999994</v>
      </c>
      <c r="AL413">
        <v>4</v>
      </c>
      <c r="AM413">
        <v>751</v>
      </c>
      <c r="AN413">
        <v>46.46</v>
      </c>
      <c r="AO413">
        <v>120.92</v>
      </c>
      <c r="AP413">
        <v>14.8</v>
      </c>
      <c r="AQ413">
        <v>3</v>
      </c>
    </row>
    <row r="414" spans="1:43" x14ac:dyDescent="0.3">
      <c r="A414">
        <v>413</v>
      </c>
      <c r="B414" t="s">
        <v>1297</v>
      </c>
      <c r="C414">
        <v>2024</v>
      </c>
      <c r="D414" t="s">
        <v>1287</v>
      </c>
      <c r="E414">
        <v>92</v>
      </c>
      <c r="F414" t="s">
        <v>1139</v>
      </c>
      <c r="G414" t="s">
        <v>63</v>
      </c>
      <c r="H414" t="s">
        <v>64</v>
      </c>
      <c r="I414" t="s">
        <v>1298</v>
      </c>
      <c r="J414" t="s">
        <v>50</v>
      </c>
      <c r="K414">
        <v>7.8</v>
      </c>
      <c r="L414">
        <v>3.2</v>
      </c>
      <c r="M414">
        <v>12.3</v>
      </c>
      <c r="N414">
        <v>4717</v>
      </c>
      <c r="O414">
        <v>163</v>
      </c>
      <c r="P414">
        <v>12.3</v>
      </c>
      <c r="Q414">
        <v>128</v>
      </c>
      <c r="R414">
        <v>266</v>
      </c>
      <c r="S414">
        <v>60.392738051130053</v>
      </c>
      <c r="T414" t="s">
        <v>77</v>
      </c>
      <c r="U414">
        <v>22523</v>
      </c>
      <c r="V414">
        <v>5</v>
      </c>
      <c r="W414">
        <v>5</v>
      </c>
      <c r="X414">
        <v>2.6989999999999998</v>
      </c>
      <c r="Y414">
        <v>13</v>
      </c>
      <c r="Z414" t="s">
        <v>138</v>
      </c>
      <c r="AA414">
        <v>59</v>
      </c>
      <c r="AB414">
        <v>41</v>
      </c>
      <c r="AC414" t="s">
        <v>53</v>
      </c>
      <c r="AD414">
        <v>15484</v>
      </c>
      <c r="AE414">
        <v>5474</v>
      </c>
      <c r="AF414">
        <v>647.61</v>
      </c>
      <c r="AG414">
        <v>98</v>
      </c>
      <c r="AH414">
        <v>2</v>
      </c>
      <c r="AI414">
        <v>56.843244897959181</v>
      </c>
      <c r="AJ414">
        <v>29.74</v>
      </c>
      <c r="AK414">
        <v>38.11</v>
      </c>
      <c r="AL414">
        <v>19.260000000000002</v>
      </c>
      <c r="AM414">
        <v>751</v>
      </c>
      <c r="AN414">
        <v>46.46</v>
      </c>
      <c r="AO414">
        <v>113.78</v>
      </c>
      <c r="AP414">
        <v>13</v>
      </c>
      <c r="AQ414">
        <v>5</v>
      </c>
    </row>
    <row r="415" spans="1:43" x14ac:dyDescent="0.3">
      <c r="A415">
        <v>414</v>
      </c>
      <c r="B415" t="s">
        <v>1299</v>
      </c>
      <c r="C415">
        <v>2024</v>
      </c>
      <c r="D415" t="s">
        <v>1300</v>
      </c>
      <c r="E415">
        <v>8</v>
      </c>
      <c r="F415" t="s">
        <v>1139</v>
      </c>
      <c r="G415" t="s">
        <v>532</v>
      </c>
      <c r="H415" t="s">
        <v>100</v>
      </c>
      <c r="I415" t="s">
        <v>1301</v>
      </c>
      <c r="J415" t="s">
        <v>50</v>
      </c>
      <c r="K415">
        <v>12.8</v>
      </c>
      <c r="L415">
        <v>5.0999999999999996</v>
      </c>
      <c r="M415">
        <v>2.2000000000000002</v>
      </c>
      <c r="N415">
        <v>8914</v>
      </c>
      <c r="O415">
        <v>8664</v>
      </c>
      <c r="P415">
        <v>2.2000000000000002</v>
      </c>
      <c r="Q415">
        <v>106</v>
      </c>
      <c r="R415">
        <v>16.399999999999999</v>
      </c>
      <c r="S415">
        <v>4.53</v>
      </c>
      <c r="T415" t="s">
        <v>58</v>
      </c>
      <c r="U415">
        <v>32078</v>
      </c>
      <c r="V415">
        <v>16</v>
      </c>
      <c r="W415">
        <v>15</v>
      </c>
      <c r="X415">
        <v>3.544</v>
      </c>
      <c r="Y415">
        <v>8.3000000000000007</v>
      </c>
      <c r="Z415" t="s">
        <v>138</v>
      </c>
      <c r="AA415">
        <v>55</v>
      </c>
      <c r="AB415">
        <v>45</v>
      </c>
      <c r="AC415" t="s">
        <v>53</v>
      </c>
      <c r="AD415">
        <v>18589</v>
      </c>
      <c r="AE415">
        <v>11243</v>
      </c>
      <c r="AF415">
        <v>788.07</v>
      </c>
      <c r="AG415">
        <v>9</v>
      </c>
      <c r="AH415">
        <v>424</v>
      </c>
      <c r="AI415">
        <v>39.266333333333343</v>
      </c>
      <c r="AJ415">
        <v>28.29</v>
      </c>
      <c r="AK415">
        <v>30.02</v>
      </c>
      <c r="AL415">
        <v>13.2</v>
      </c>
      <c r="AM415">
        <v>761</v>
      </c>
      <c r="AN415">
        <v>45.75</v>
      </c>
      <c r="AO415">
        <v>7.88</v>
      </c>
      <c r="AP415">
        <v>8.3000000000000007</v>
      </c>
      <c r="AQ415">
        <v>16</v>
      </c>
    </row>
    <row r="416" spans="1:43" x14ac:dyDescent="0.3">
      <c r="A416">
        <v>415</v>
      </c>
      <c r="B416" t="s">
        <v>1302</v>
      </c>
      <c r="C416">
        <v>2024</v>
      </c>
      <c r="D416" t="s">
        <v>1300</v>
      </c>
      <c r="E416">
        <v>14</v>
      </c>
      <c r="F416" t="s">
        <v>1139</v>
      </c>
      <c r="G416" t="s">
        <v>1123</v>
      </c>
      <c r="H416" t="s">
        <v>100</v>
      </c>
      <c r="I416" t="s">
        <v>1303</v>
      </c>
      <c r="J416" t="s">
        <v>65</v>
      </c>
      <c r="K416">
        <v>7.3</v>
      </c>
      <c r="L416">
        <v>13.8</v>
      </c>
      <c r="M416">
        <v>14.6</v>
      </c>
      <c r="N416">
        <v>512</v>
      </c>
      <c r="O416">
        <v>7890</v>
      </c>
      <c r="P416">
        <v>14.6</v>
      </c>
      <c r="Q416">
        <v>93</v>
      </c>
      <c r="R416">
        <v>21.8</v>
      </c>
      <c r="S416">
        <v>1.34</v>
      </c>
      <c r="T416" t="s">
        <v>96</v>
      </c>
      <c r="U416">
        <v>4300</v>
      </c>
      <c r="V416">
        <v>19</v>
      </c>
      <c r="W416">
        <v>20</v>
      </c>
      <c r="X416">
        <v>469</v>
      </c>
      <c r="Y416">
        <v>9</v>
      </c>
      <c r="Z416" t="s">
        <v>272</v>
      </c>
      <c r="AA416">
        <v>33</v>
      </c>
      <c r="AB416">
        <v>67</v>
      </c>
      <c r="AC416" t="s">
        <v>53</v>
      </c>
      <c r="AD416">
        <v>3579</v>
      </c>
      <c r="AE416">
        <v>738</v>
      </c>
      <c r="AF416">
        <v>795.19</v>
      </c>
      <c r="AG416">
        <v>8</v>
      </c>
      <c r="AH416">
        <v>685</v>
      </c>
      <c r="AI416">
        <v>29.588437500000001</v>
      </c>
      <c r="AJ416">
        <v>29.39</v>
      </c>
      <c r="AK416">
        <v>22.69</v>
      </c>
      <c r="AL416">
        <v>21.22</v>
      </c>
      <c r="AM416">
        <v>761</v>
      </c>
      <c r="AN416">
        <v>45.75</v>
      </c>
      <c r="AO416">
        <v>17.48</v>
      </c>
      <c r="AP416">
        <v>9</v>
      </c>
      <c r="AQ416">
        <v>19</v>
      </c>
    </row>
    <row r="417" spans="1:43" x14ac:dyDescent="0.3">
      <c r="A417">
        <v>416</v>
      </c>
      <c r="B417" t="s">
        <v>1304</v>
      </c>
      <c r="C417">
        <v>2024</v>
      </c>
      <c r="D417" t="s">
        <v>1300</v>
      </c>
      <c r="E417">
        <v>88</v>
      </c>
      <c r="F417" t="s">
        <v>1139</v>
      </c>
      <c r="G417" t="s">
        <v>63</v>
      </c>
      <c r="H417" t="s">
        <v>64</v>
      </c>
      <c r="I417" t="s">
        <v>1305</v>
      </c>
      <c r="J417" t="s">
        <v>50</v>
      </c>
      <c r="K417">
        <v>6.7</v>
      </c>
      <c r="L417">
        <v>16.5</v>
      </c>
      <c r="M417">
        <v>13.7</v>
      </c>
      <c r="N417">
        <v>20395</v>
      </c>
      <c r="O417">
        <v>304</v>
      </c>
      <c r="P417">
        <v>13.7</v>
      </c>
      <c r="Q417">
        <v>267</v>
      </c>
      <c r="R417">
        <v>330</v>
      </c>
      <c r="S417">
        <v>109.70768675568389</v>
      </c>
      <c r="T417" t="s">
        <v>71</v>
      </c>
      <c r="U417">
        <v>25944</v>
      </c>
      <c r="V417">
        <v>3</v>
      </c>
      <c r="W417">
        <v>4</v>
      </c>
      <c r="X417">
        <v>2.7709999999999999</v>
      </c>
      <c r="Y417">
        <v>10.6</v>
      </c>
      <c r="Z417" t="s">
        <v>521</v>
      </c>
      <c r="AA417">
        <v>65</v>
      </c>
      <c r="AB417">
        <v>35</v>
      </c>
      <c r="AC417" t="s">
        <v>53</v>
      </c>
      <c r="AD417">
        <v>18103</v>
      </c>
      <c r="AE417">
        <v>7017</v>
      </c>
      <c r="AF417">
        <v>647.61</v>
      </c>
      <c r="AG417">
        <v>98</v>
      </c>
      <c r="AH417">
        <v>2</v>
      </c>
      <c r="AI417">
        <v>56.843244897959181</v>
      </c>
      <c r="AJ417">
        <v>29.74</v>
      </c>
      <c r="AK417">
        <v>38.11</v>
      </c>
      <c r="AL417">
        <v>19.260000000000002</v>
      </c>
      <c r="AM417">
        <v>761</v>
      </c>
      <c r="AN417">
        <v>45.75</v>
      </c>
      <c r="AO417">
        <v>140.22</v>
      </c>
      <c r="AP417">
        <v>10.6</v>
      </c>
      <c r="AQ417">
        <v>3</v>
      </c>
    </row>
    <row r="418" spans="1:43" x14ac:dyDescent="0.3">
      <c r="A418">
        <v>417</v>
      </c>
      <c r="B418" t="s">
        <v>1306</v>
      </c>
      <c r="C418">
        <v>2024</v>
      </c>
      <c r="D418" t="s">
        <v>1307</v>
      </c>
      <c r="E418">
        <v>35</v>
      </c>
      <c r="F418" t="s">
        <v>1139</v>
      </c>
      <c r="G418" t="s">
        <v>286</v>
      </c>
      <c r="H418" t="s">
        <v>48</v>
      </c>
      <c r="I418" t="s">
        <v>287</v>
      </c>
      <c r="J418" t="s">
        <v>50</v>
      </c>
      <c r="K418">
        <v>5.8</v>
      </c>
      <c r="L418">
        <v>4.4000000000000004</v>
      </c>
      <c r="M418">
        <v>3.4</v>
      </c>
      <c r="N418">
        <v>6010</v>
      </c>
      <c r="O418">
        <v>93851</v>
      </c>
      <c r="P418">
        <v>3.4</v>
      </c>
      <c r="Q418">
        <v>354</v>
      </c>
      <c r="R418">
        <v>35.799999999999997</v>
      </c>
      <c r="S418">
        <v>2.56</v>
      </c>
      <c r="T418" t="s">
        <v>58</v>
      </c>
      <c r="U418">
        <v>15885</v>
      </c>
      <c r="V418">
        <v>26</v>
      </c>
      <c r="W418">
        <v>23</v>
      </c>
      <c r="X418">
        <v>2.0270000000000001</v>
      </c>
      <c r="Y418">
        <v>8.1</v>
      </c>
      <c r="Z418" t="s">
        <v>1308</v>
      </c>
      <c r="AA418">
        <v>65</v>
      </c>
      <c r="AB418">
        <v>35</v>
      </c>
      <c r="AC418" t="s">
        <v>53</v>
      </c>
      <c r="AD418">
        <v>17542</v>
      </c>
      <c r="AE418">
        <v>4364</v>
      </c>
      <c r="AF418">
        <v>1470.93</v>
      </c>
      <c r="AG418">
        <v>24</v>
      </c>
      <c r="AH418">
        <v>95</v>
      </c>
      <c r="AI418">
        <v>29.87127083333333</v>
      </c>
      <c r="AJ418">
        <v>18.23</v>
      </c>
      <c r="AK418">
        <v>14.05</v>
      </c>
      <c r="AL418">
        <v>16.72</v>
      </c>
      <c r="AM418">
        <v>771</v>
      </c>
      <c r="AN418">
        <v>45.03</v>
      </c>
      <c r="AO418">
        <v>16.36</v>
      </c>
      <c r="AP418">
        <v>8.1</v>
      </c>
      <c r="AQ418">
        <v>26</v>
      </c>
    </row>
    <row r="419" spans="1:43" x14ac:dyDescent="0.3">
      <c r="A419">
        <v>418</v>
      </c>
      <c r="B419" t="s">
        <v>1309</v>
      </c>
      <c r="C419">
        <v>2024</v>
      </c>
      <c r="D419" t="s">
        <v>1307</v>
      </c>
      <c r="E419">
        <v>14</v>
      </c>
      <c r="F419" t="s">
        <v>1139</v>
      </c>
      <c r="G419" t="s">
        <v>590</v>
      </c>
      <c r="H419" t="s">
        <v>100</v>
      </c>
      <c r="I419" t="s">
        <v>590</v>
      </c>
      <c r="J419" t="s">
        <v>1272</v>
      </c>
      <c r="K419">
        <v>8.3000000000000007</v>
      </c>
      <c r="L419">
        <v>12.6</v>
      </c>
      <c r="M419">
        <v>42.4</v>
      </c>
      <c r="N419">
        <v>429</v>
      </c>
      <c r="O419">
        <v>14154</v>
      </c>
      <c r="P419">
        <v>42.4</v>
      </c>
      <c r="Q419">
        <v>122</v>
      </c>
      <c r="R419">
        <v>49.4</v>
      </c>
      <c r="S419">
        <v>1.57</v>
      </c>
      <c r="T419" t="s">
        <v>51</v>
      </c>
      <c r="U419">
        <v>3251</v>
      </c>
      <c r="V419">
        <v>1</v>
      </c>
      <c r="W419">
        <v>1</v>
      </c>
      <c r="X419">
        <v>274</v>
      </c>
      <c r="Y419">
        <v>15.3</v>
      </c>
      <c r="Z419" t="s">
        <v>72</v>
      </c>
      <c r="AA419">
        <v>50</v>
      </c>
      <c r="AB419">
        <v>50</v>
      </c>
      <c r="AC419" t="s">
        <v>53</v>
      </c>
      <c r="AD419">
        <v>2164</v>
      </c>
      <c r="AE419">
        <v>1512</v>
      </c>
      <c r="AF419">
        <v>1100.42</v>
      </c>
      <c r="AG419">
        <v>16</v>
      </c>
      <c r="AH419">
        <v>218</v>
      </c>
      <c r="AI419">
        <v>38.128875000000001</v>
      </c>
      <c r="AJ419">
        <v>27.22</v>
      </c>
      <c r="AK419">
        <v>36.06</v>
      </c>
      <c r="AL419">
        <v>6.8</v>
      </c>
      <c r="AM419">
        <v>771</v>
      </c>
      <c r="AN419">
        <v>45.03</v>
      </c>
      <c r="AO419">
        <v>45.2</v>
      </c>
      <c r="AP419">
        <v>15.3</v>
      </c>
      <c r="AQ419">
        <v>1</v>
      </c>
    </row>
    <row r="420" spans="1:43" x14ac:dyDescent="0.3">
      <c r="A420">
        <v>419</v>
      </c>
      <c r="B420" t="s">
        <v>1310</v>
      </c>
      <c r="C420">
        <v>2024</v>
      </c>
      <c r="D420" t="s">
        <v>1307</v>
      </c>
      <c r="E420">
        <v>61</v>
      </c>
      <c r="F420" t="s">
        <v>1139</v>
      </c>
      <c r="G420" t="s">
        <v>47</v>
      </c>
      <c r="H420" t="s">
        <v>48</v>
      </c>
      <c r="I420" t="s">
        <v>1311</v>
      </c>
      <c r="J420" t="s">
        <v>50</v>
      </c>
      <c r="K420">
        <v>8.4</v>
      </c>
      <c r="L420">
        <v>7</v>
      </c>
      <c r="M420">
        <v>15.8</v>
      </c>
      <c r="N420">
        <v>4418</v>
      </c>
      <c r="O420">
        <v>1001</v>
      </c>
      <c r="P420">
        <v>15.8</v>
      </c>
      <c r="Q420">
        <v>142</v>
      </c>
      <c r="R420">
        <v>1001</v>
      </c>
      <c r="S420">
        <v>1.008056394763343</v>
      </c>
      <c r="T420" t="s">
        <v>51</v>
      </c>
      <c r="U420">
        <v>14525</v>
      </c>
      <c r="V420">
        <v>22</v>
      </c>
      <c r="W420">
        <v>23</v>
      </c>
      <c r="X420">
        <v>993</v>
      </c>
      <c r="Y420">
        <v>18</v>
      </c>
      <c r="Z420" t="s">
        <v>202</v>
      </c>
      <c r="AA420">
        <v>61</v>
      </c>
      <c r="AB420">
        <v>39</v>
      </c>
      <c r="AC420" t="s">
        <v>53</v>
      </c>
      <c r="AD420">
        <v>10651</v>
      </c>
      <c r="AE420">
        <v>4189</v>
      </c>
      <c r="AF420">
        <v>614.48</v>
      </c>
      <c r="AG420">
        <v>69</v>
      </c>
      <c r="AH420">
        <v>1</v>
      </c>
      <c r="AI420">
        <v>50.817340579710141</v>
      </c>
      <c r="AJ420">
        <v>35.82</v>
      </c>
      <c r="AK420">
        <v>38.92</v>
      </c>
      <c r="AL420">
        <v>35.29</v>
      </c>
      <c r="AM420">
        <v>771</v>
      </c>
      <c r="AN420">
        <v>45.03</v>
      </c>
      <c r="AO420">
        <v>409.88</v>
      </c>
      <c r="AP420">
        <v>18</v>
      </c>
      <c r="AQ420">
        <v>22</v>
      </c>
    </row>
    <row r="421" spans="1:43" x14ac:dyDescent="0.3">
      <c r="A421">
        <v>420</v>
      </c>
      <c r="B421" t="s">
        <v>1312</v>
      </c>
      <c r="C421">
        <v>2024</v>
      </c>
      <c r="D421" t="s">
        <v>1313</v>
      </c>
      <c r="E421">
        <v>149</v>
      </c>
      <c r="F421" t="s">
        <v>1139</v>
      </c>
      <c r="G421" t="s">
        <v>63</v>
      </c>
      <c r="H421" t="s">
        <v>64</v>
      </c>
      <c r="I421" t="s">
        <v>1314</v>
      </c>
      <c r="J421" t="s">
        <v>65</v>
      </c>
      <c r="K421">
        <v>13.6</v>
      </c>
      <c r="L421">
        <v>9.6</v>
      </c>
      <c r="M421">
        <v>13.7</v>
      </c>
      <c r="N421">
        <v>4552</v>
      </c>
      <c r="O421">
        <v>541</v>
      </c>
      <c r="P421">
        <v>13.7</v>
      </c>
      <c r="Q421">
        <v>74</v>
      </c>
      <c r="R421">
        <v>678</v>
      </c>
      <c r="S421">
        <v>393.74090247452688</v>
      </c>
      <c r="T421" t="s">
        <v>96</v>
      </c>
      <c r="U421">
        <v>19214</v>
      </c>
      <c r="V421">
        <v>21</v>
      </c>
      <c r="W421">
        <v>21</v>
      </c>
      <c r="X421">
        <v>1.3740000000000001</v>
      </c>
      <c r="Y421">
        <v>14.1</v>
      </c>
      <c r="Z421" t="s">
        <v>337</v>
      </c>
      <c r="AA421">
        <v>54</v>
      </c>
      <c r="AB421">
        <v>46</v>
      </c>
      <c r="AC421" t="s">
        <v>53</v>
      </c>
      <c r="AD421">
        <v>15043</v>
      </c>
      <c r="AE421">
        <v>6061</v>
      </c>
      <c r="AF421">
        <v>647.61</v>
      </c>
      <c r="AG421">
        <v>98</v>
      </c>
      <c r="AH421">
        <v>2</v>
      </c>
      <c r="AI421">
        <v>56.843244897959181</v>
      </c>
      <c r="AJ421">
        <v>29.74</v>
      </c>
      <c r="AK421">
        <v>38.11</v>
      </c>
      <c r="AL421">
        <v>19.260000000000002</v>
      </c>
      <c r="AM421">
        <v>781</v>
      </c>
      <c r="AN421">
        <v>44.32</v>
      </c>
      <c r="AO421">
        <v>279.42</v>
      </c>
      <c r="AP421">
        <v>14.1</v>
      </c>
      <c r="AQ421">
        <v>21</v>
      </c>
    </row>
    <row r="422" spans="1:43" x14ac:dyDescent="0.3">
      <c r="A422">
        <v>421</v>
      </c>
      <c r="B422" t="s">
        <v>1315</v>
      </c>
      <c r="C422">
        <v>2024</v>
      </c>
      <c r="D422" t="s">
        <v>1313</v>
      </c>
      <c r="E422">
        <v>151</v>
      </c>
      <c r="F422" t="s">
        <v>1139</v>
      </c>
      <c r="G422" t="s">
        <v>63</v>
      </c>
      <c r="H422" t="s">
        <v>1316</v>
      </c>
      <c r="I422" t="s">
        <v>1317</v>
      </c>
      <c r="J422" t="s">
        <v>50</v>
      </c>
      <c r="K422">
        <v>3.1</v>
      </c>
      <c r="L422">
        <v>3.2</v>
      </c>
      <c r="M422">
        <v>13.4</v>
      </c>
      <c r="N422">
        <v>827</v>
      </c>
      <c r="O422">
        <v>363</v>
      </c>
      <c r="P422">
        <v>13.4</v>
      </c>
      <c r="Q422">
        <v>61</v>
      </c>
      <c r="R422">
        <v>819</v>
      </c>
      <c r="S422">
        <v>4.16</v>
      </c>
      <c r="T422" t="s">
        <v>51</v>
      </c>
      <c r="U422">
        <v>2829</v>
      </c>
      <c r="V422">
        <v>6</v>
      </c>
      <c r="W422">
        <v>6</v>
      </c>
      <c r="X422">
        <v>199</v>
      </c>
      <c r="Y422">
        <v>7.9</v>
      </c>
      <c r="Z422" t="s">
        <v>146</v>
      </c>
      <c r="AA422">
        <v>56</v>
      </c>
      <c r="AB422">
        <v>44</v>
      </c>
      <c r="AC422" t="s">
        <v>53</v>
      </c>
      <c r="AD422">
        <v>1686</v>
      </c>
      <c r="AE422">
        <v>1209</v>
      </c>
      <c r="AF422">
        <v>647.61</v>
      </c>
      <c r="AG422">
        <v>98</v>
      </c>
      <c r="AH422">
        <v>2</v>
      </c>
      <c r="AI422">
        <v>56.843244897959181</v>
      </c>
      <c r="AJ422">
        <v>29.74</v>
      </c>
      <c r="AK422">
        <v>38.11</v>
      </c>
      <c r="AL422">
        <v>19.260000000000002</v>
      </c>
      <c r="AM422">
        <v>781</v>
      </c>
      <c r="AN422">
        <v>44.32</v>
      </c>
      <c r="AO422">
        <v>335.64</v>
      </c>
      <c r="AP422">
        <v>7.9</v>
      </c>
      <c r="AQ422">
        <v>6</v>
      </c>
    </row>
    <row r="423" spans="1:43" x14ac:dyDescent="0.3">
      <c r="A423">
        <v>422</v>
      </c>
      <c r="B423" t="s">
        <v>1318</v>
      </c>
      <c r="C423">
        <v>2024</v>
      </c>
      <c r="D423" t="s">
        <v>1319</v>
      </c>
      <c r="E423">
        <v>83</v>
      </c>
      <c r="F423" t="s">
        <v>1139</v>
      </c>
      <c r="G423" t="s">
        <v>63</v>
      </c>
      <c r="H423" t="s">
        <v>64</v>
      </c>
      <c r="I423" t="s">
        <v>745</v>
      </c>
      <c r="J423" t="s">
        <v>65</v>
      </c>
      <c r="K423">
        <v>16.2</v>
      </c>
      <c r="L423">
        <v>22.8</v>
      </c>
      <c r="M423">
        <v>4.0999999999999996</v>
      </c>
      <c r="N423">
        <v>6364</v>
      </c>
      <c r="O423">
        <v>7532</v>
      </c>
      <c r="P423">
        <v>4.0999999999999996</v>
      </c>
      <c r="Q423">
        <v>88</v>
      </c>
      <c r="R423">
        <v>13.7</v>
      </c>
      <c r="S423">
        <v>5.19</v>
      </c>
      <c r="T423" t="s">
        <v>58</v>
      </c>
      <c r="U423">
        <v>12771</v>
      </c>
      <c r="V423">
        <v>12</v>
      </c>
      <c r="W423">
        <v>11</v>
      </c>
      <c r="X423">
        <v>1.091</v>
      </c>
      <c r="Y423">
        <v>12</v>
      </c>
      <c r="Z423" t="s">
        <v>326</v>
      </c>
      <c r="AA423">
        <v>64</v>
      </c>
      <c r="AB423">
        <v>36</v>
      </c>
      <c r="AC423" t="s">
        <v>53</v>
      </c>
      <c r="AD423">
        <v>10488</v>
      </c>
      <c r="AE423">
        <v>2828</v>
      </c>
      <c r="AF423">
        <v>647.61</v>
      </c>
      <c r="AG423">
        <v>98</v>
      </c>
      <c r="AH423">
        <v>2</v>
      </c>
      <c r="AI423">
        <v>56.843244897959181</v>
      </c>
      <c r="AJ423">
        <v>29.74</v>
      </c>
      <c r="AK423">
        <v>38.11</v>
      </c>
      <c r="AL423">
        <v>19.260000000000002</v>
      </c>
      <c r="AM423">
        <v>791</v>
      </c>
      <c r="AN423">
        <v>43.6</v>
      </c>
      <c r="AO423">
        <v>7.94</v>
      </c>
      <c r="AP423">
        <v>12</v>
      </c>
      <c r="AQ423">
        <v>12</v>
      </c>
    </row>
    <row r="424" spans="1:43" x14ac:dyDescent="0.3">
      <c r="A424">
        <v>423</v>
      </c>
      <c r="B424" t="s">
        <v>1320</v>
      </c>
      <c r="C424">
        <v>2024</v>
      </c>
      <c r="D424" t="s">
        <v>1319</v>
      </c>
      <c r="E424">
        <v>130</v>
      </c>
      <c r="F424" t="s">
        <v>1139</v>
      </c>
      <c r="G424" t="s">
        <v>63</v>
      </c>
      <c r="H424" t="s">
        <v>64</v>
      </c>
      <c r="I424" t="s">
        <v>1321</v>
      </c>
      <c r="J424" t="s">
        <v>65</v>
      </c>
      <c r="K424">
        <v>1.6</v>
      </c>
      <c r="L424">
        <v>2.4</v>
      </c>
      <c r="M424">
        <v>39</v>
      </c>
      <c r="N424">
        <v>1602</v>
      </c>
      <c r="O424">
        <v>12189</v>
      </c>
      <c r="P424">
        <v>39</v>
      </c>
      <c r="Q424">
        <v>106</v>
      </c>
      <c r="R424">
        <v>24.2</v>
      </c>
      <c r="S424">
        <v>3.73</v>
      </c>
      <c r="T424" t="s">
        <v>96</v>
      </c>
      <c r="U424">
        <v>3871</v>
      </c>
      <c r="V424">
        <v>8</v>
      </c>
      <c r="W424">
        <v>13</v>
      </c>
      <c r="X424">
        <v>291</v>
      </c>
      <c r="Y424">
        <v>15.5</v>
      </c>
      <c r="Z424" t="s">
        <v>306</v>
      </c>
      <c r="AA424">
        <v>35</v>
      </c>
      <c r="AB424">
        <v>65</v>
      </c>
      <c r="AC424" t="s">
        <v>53</v>
      </c>
      <c r="AD424">
        <v>2218</v>
      </c>
      <c r="AE424">
        <v>1328</v>
      </c>
      <c r="AF424">
        <v>647.61</v>
      </c>
      <c r="AG424">
        <v>98</v>
      </c>
      <c r="AH424">
        <v>2</v>
      </c>
      <c r="AI424">
        <v>56.843244897959181</v>
      </c>
      <c r="AJ424">
        <v>29.74</v>
      </c>
      <c r="AK424">
        <v>38.11</v>
      </c>
      <c r="AL424">
        <v>19.260000000000002</v>
      </c>
      <c r="AM424">
        <v>791</v>
      </c>
      <c r="AN424">
        <v>43.6</v>
      </c>
      <c r="AO424">
        <v>33.08</v>
      </c>
      <c r="AP424">
        <v>15.5</v>
      </c>
      <c r="AQ424">
        <v>8</v>
      </c>
    </row>
    <row r="425" spans="1:43" x14ac:dyDescent="0.3">
      <c r="A425">
        <v>424</v>
      </c>
      <c r="B425" t="s">
        <v>1322</v>
      </c>
      <c r="C425">
        <v>2024</v>
      </c>
      <c r="D425" t="s">
        <v>1319</v>
      </c>
      <c r="E425">
        <v>8</v>
      </c>
      <c r="F425" t="s">
        <v>1139</v>
      </c>
      <c r="G425" t="s">
        <v>706</v>
      </c>
      <c r="H425" t="s">
        <v>100</v>
      </c>
      <c r="I425" t="s">
        <v>1323</v>
      </c>
      <c r="J425" t="s">
        <v>50</v>
      </c>
      <c r="K425">
        <v>17.2</v>
      </c>
      <c r="L425">
        <v>33.9</v>
      </c>
      <c r="M425">
        <v>1.4</v>
      </c>
      <c r="N425">
        <v>9694</v>
      </c>
      <c r="O425">
        <v>4873</v>
      </c>
      <c r="P425">
        <v>1.4</v>
      </c>
      <c r="Q425">
        <v>78</v>
      </c>
      <c r="R425">
        <v>16.2</v>
      </c>
      <c r="S425">
        <v>3.26</v>
      </c>
      <c r="T425" t="s">
        <v>58</v>
      </c>
      <c r="U425">
        <v>35688</v>
      </c>
      <c r="V425">
        <v>2</v>
      </c>
      <c r="W425">
        <v>4</v>
      </c>
      <c r="X425">
        <v>2852</v>
      </c>
      <c r="Y425">
        <v>18</v>
      </c>
      <c r="Z425" t="s">
        <v>116</v>
      </c>
      <c r="AA425">
        <v>66</v>
      </c>
      <c r="AB425">
        <v>34</v>
      </c>
      <c r="AC425" t="s">
        <v>53</v>
      </c>
      <c r="AD425">
        <v>24539</v>
      </c>
      <c r="AE425">
        <v>11999</v>
      </c>
      <c r="AF425">
        <v>1323.15</v>
      </c>
      <c r="AG425">
        <v>11</v>
      </c>
      <c r="AH425">
        <v>1332</v>
      </c>
      <c r="AI425">
        <v>21.125681818181821</v>
      </c>
      <c r="AJ425">
        <v>23.15</v>
      </c>
      <c r="AK425">
        <v>10.65</v>
      </c>
      <c r="AL425">
        <v>6.33</v>
      </c>
      <c r="AM425">
        <v>791</v>
      </c>
      <c r="AN425">
        <v>43.6</v>
      </c>
      <c r="AO425">
        <v>7.32</v>
      </c>
      <c r="AP425">
        <v>18</v>
      </c>
      <c r="AQ425">
        <v>2</v>
      </c>
    </row>
    <row r="426" spans="1:43" x14ac:dyDescent="0.3">
      <c r="A426">
        <v>425</v>
      </c>
      <c r="B426" t="s">
        <v>1324</v>
      </c>
      <c r="C426">
        <v>2024</v>
      </c>
      <c r="D426" t="s">
        <v>1319</v>
      </c>
      <c r="E426">
        <v>20</v>
      </c>
      <c r="F426" t="s">
        <v>1139</v>
      </c>
      <c r="G426" t="s">
        <v>286</v>
      </c>
      <c r="H426" t="s">
        <v>48</v>
      </c>
      <c r="I426" t="s">
        <v>287</v>
      </c>
      <c r="J426" t="s">
        <v>50</v>
      </c>
      <c r="K426">
        <v>12.6</v>
      </c>
      <c r="L426">
        <v>14.3</v>
      </c>
      <c r="M426">
        <v>2.8</v>
      </c>
      <c r="N426">
        <v>5178</v>
      </c>
      <c r="O426">
        <v>3747</v>
      </c>
      <c r="P426">
        <v>2.8</v>
      </c>
      <c r="Q426">
        <v>54</v>
      </c>
      <c r="R426">
        <v>9.4</v>
      </c>
      <c r="S426">
        <v>4.22</v>
      </c>
      <c r="T426" t="s">
        <v>77</v>
      </c>
      <c r="U426">
        <v>12595</v>
      </c>
      <c r="V426">
        <v>15</v>
      </c>
      <c r="W426">
        <v>14</v>
      </c>
      <c r="X426">
        <v>1.585</v>
      </c>
      <c r="Y426">
        <v>9.1</v>
      </c>
      <c r="Z426" t="s">
        <v>457</v>
      </c>
      <c r="AA426">
        <v>55</v>
      </c>
      <c r="AB426">
        <v>45</v>
      </c>
      <c r="AC426" t="s">
        <v>53</v>
      </c>
      <c r="AD426">
        <v>10529</v>
      </c>
      <c r="AE426">
        <v>3152</v>
      </c>
      <c r="AF426">
        <v>1470.93</v>
      </c>
      <c r="AG426">
        <v>24</v>
      </c>
      <c r="AH426">
        <v>95</v>
      </c>
      <c r="AI426">
        <v>29.87127083333333</v>
      </c>
      <c r="AJ426">
        <v>18.23</v>
      </c>
      <c r="AK426">
        <v>14.05</v>
      </c>
      <c r="AL426">
        <v>16.72</v>
      </c>
      <c r="AM426">
        <v>791</v>
      </c>
      <c r="AN426">
        <v>43.6</v>
      </c>
      <c r="AO426">
        <v>5.44</v>
      </c>
      <c r="AP426">
        <v>9.1</v>
      </c>
      <c r="AQ426">
        <v>15</v>
      </c>
    </row>
    <row r="427" spans="1:43" x14ac:dyDescent="0.3">
      <c r="A427">
        <v>426</v>
      </c>
      <c r="B427" t="s">
        <v>1325</v>
      </c>
      <c r="C427">
        <v>2024</v>
      </c>
      <c r="D427" t="s">
        <v>1319</v>
      </c>
      <c r="E427">
        <v>37</v>
      </c>
      <c r="F427" t="s">
        <v>1139</v>
      </c>
      <c r="G427" t="s">
        <v>384</v>
      </c>
      <c r="H427" t="s">
        <v>48</v>
      </c>
      <c r="I427" t="s">
        <v>1326</v>
      </c>
      <c r="J427" t="s">
        <v>50</v>
      </c>
      <c r="K427">
        <v>3.9</v>
      </c>
      <c r="L427">
        <v>2.1</v>
      </c>
      <c r="M427">
        <v>50.4</v>
      </c>
      <c r="N427">
        <v>3261</v>
      </c>
      <c r="O427">
        <v>898</v>
      </c>
      <c r="P427">
        <v>50.4</v>
      </c>
      <c r="Q427">
        <v>221</v>
      </c>
      <c r="R427">
        <v>705</v>
      </c>
      <c r="S427">
        <v>1.717017208413002</v>
      </c>
      <c r="T427" t="s">
        <v>51</v>
      </c>
      <c r="U427">
        <v>14615</v>
      </c>
      <c r="V427">
        <v>6</v>
      </c>
      <c r="W427">
        <v>5</v>
      </c>
      <c r="X427">
        <v>523</v>
      </c>
      <c r="Y427">
        <v>24.2</v>
      </c>
      <c r="Z427" t="s">
        <v>72</v>
      </c>
      <c r="AA427">
        <v>52</v>
      </c>
      <c r="AB427">
        <v>48</v>
      </c>
      <c r="AC427" t="s">
        <v>53</v>
      </c>
      <c r="AD427">
        <v>6921</v>
      </c>
      <c r="AE427">
        <v>3269</v>
      </c>
      <c r="AF427">
        <v>644.77</v>
      </c>
      <c r="AG427">
        <v>18</v>
      </c>
      <c r="AH427">
        <v>181</v>
      </c>
      <c r="AI427">
        <v>47.393000000000001</v>
      </c>
      <c r="AJ427">
        <v>35.17</v>
      </c>
      <c r="AK427">
        <v>47.49</v>
      </c>
      <c r="AL427">
        <v>13.04</v>
      </c>
      <c r="AM427">
        <v>791</v>
      </c>
      <c r="AN427">
        <v>43.6</v>
      </c>
      <c r="AO427">
        <v>312.24</v>
      </c>
      <c r="AP427">
        <v>24.2</v>
      </c>
      <c r="AQ427">
        <v>6</v>
      </c>
    </row>
    <row r="428" spans="1:43" x14ac:dyDescent="0.3">
      <c r="A428">
        <v>427</v>
      </c>
      <c r="B428" t="s">
        <v>1327</v>
      </c>
      <c r="C428">
        <v>2024</v>
      </c>
      <c r="D428" t="s">
        <v>1319</v>
      </c>
      <c r="E428">
        <v>16</v>
      </c>
      <c r="F428" t="s">
        <v>1139</v>
      </c>
      <c r="G428" t="s">
        <v>775</v>
      </c>
      <c r="H428" t="s">
        <v>100</v>
      </c>
      <c r="I428" t="s">
        <v>1284</v>
      </c>
      <c r="J428" t="s">
        <v>50</v>
      </c>
      <c r="K428">
        <v>8.9</v>
      </c>
      <c r="L428">
        <v>44.8</v>
      </c>
      <c r="M428">
        <v>5.7</v>
      </c>
      <c r="N428">
        <v>5466</v>
      </c>
      <c r="O428">
        <v>18818</v>
      </c>
      <c r="P428">
        <v>5.7</v>
      </c>
      <c r="Q428">
        <v>138</v>
      </c>
      <c r="R428">
        <v>13.1</v>
      </c>
      <c r="S428">
        <v>4.32</v>
      </c>
      <c r="T428" t="s">
        <v>51</v>
      </c>
      <c r="U428">
        <v>12720</v>
      </c>
      <c r="V428">
        <v>2</v>
      </c>
      <c r="W428">
        <v>2</v>
      </c>
      <c r="X428">
        <v>1.02</v>
      </c>
      <c r="Y428">
        <v>13.4</v>
      </c>
      <c r="Z428" t="s">
        <v>526</v>
      </c>
      <c r="AA428">
        <v>33</v>
      </c>
      <c r="AB428">
        <v>67</v>
      </c>
      <c r="AC428" t="s">
        <v>53</v>
      </c>
      <c r="AD428">
        <v>8744</v>
      </c>
      <c r="AE428">
        <v>5116</v>
      </c>
      <c r="AF428">
        <v>1036.01</v>
      </c>
      <c r="AG428">
        <v>6</v>
      </c>
      <c r="AH428">
        <v>486</v>
      </c>
      <c r="AI428">
        <v>33.59258333333333</v>
      </c>
      <c r="AJ428">
        <v>26.97</v>
      </c>
      <c r="AK428">
        <v>32.47</v>
      </c>
      <c r="AL428">
        <v>4.6900000000000004</v>
      </c>
      <c r="AM428">
        <v>791</v>
      </c>
      <c r="AN428">
        <v>43.6</v>
      </c>
      <c r="AO428">
        <v>8.66</v>
      </c>
      <c r="AP428">
        <v>13.4</v>
      </c>
      <c r="AQ428">
        <v>2</v>
      </c>
    </row>
    <row r="429" spans="1:43" x14ac:dyDescent="0.3">
      <c r="A429">
        <v>428</v>
      </c>
      <c r="B429" t="s">
        <v>1328</v>
      </c>
      <c r="C429">
        <v>2024</v>
      </c>
      <c r="D429" t="s">
        <v>1319</v>
      </c>
      <c r="E429">
        <v>5</v>
      </c>
      <c r="F429" t="s">
        <v>1139</v>
      </c>
      <c r="G429" t="s">
        <v>834</v>
      </c>
      <c r="H429" t="s">
        <v>48</v>
      </c>
      <c r="I429" t="s">
        <v>1329</v>
      </c>
      <c r="J429" t="s">
        <v>50</v>
      </c>
      <c r="K429">
        <v>12.1</v>
      </c>
      <c r="L429">
        <v>17.7</v>
      </c>
      <c r="M429">
        <v>24</v>
      </c>
      <c r="N429">
        <v>13031</v>
      </c>
      <c r="O429">
        <v>673</v>
      </c>
      <c r="P429">
        <v>24</v>
      </c>
      <c r="Q429">
        <v>292</v>
      </c>
      <c r="R429">
        <v>545</v>
      </c>
      <c r="S429">
        <v>0.77803468208092486</v>
      </c>
      <c r="T429" t="s">
        <v>51</v>
      </c>
      <c r="U429">
        <v>31172</v>
      </c>
      <c r="V429">
        <v>5</v>
      </c>
      <c r="W429">
        <v>6</v>
      </c>
      <c r="X429">
        <v>865</v>
      </c>
      <c r="Y429">
        <v>29.4</v>
      </c>
      <c r="Z429" t="s">
        <v>66</v>
      </c>
      <c r="AA429">
        <v>51</v>
      </c>
      <c r="AB429">
        <v>49</v>
      </c>
      <c r="AC429" t="s">
        <v>53</v>
      </c>
      <c r="AD429">
        <v>18716</v>
      </c>
      <c r="AE429">
        <v>9595</v>
      </c>
      <c r="AF429">
        <v>1152.18</v>
      </c>
      <c r="AG429">
        <v>8</v>
      </c>
      <c r="AH429">
        <v>521</v>
      </c>
      <c r="AI429">
        <v>35.509249999999987</v>
      </c>
      <c r="AJ429">
        <v>26.59</v>
      </c>
      <c r="AK429">
        <v>34.58</v>
      </c>
      <c r="AL429">
        <v>5.27</v>
      </c>
      <c r="AM429">
        <v>791</v>
      </c>
      <c r="AN429">
        <v>43.6</v>
      </c>
      <c r="AO429">
        <v>232.4</v>
      </c>
      <c r="AP429">
        <v>29.4</v>
      </c>
      <c r="AQ429">
        <v>5</v>
      </c>
    </row>
    <row r="430" spans="1:43" x14ac:dyDescent="0.3">
      <c r="A430">
        <v>429</v>
      </c>
      <c r="B430" t="s">
        <v>1330</v>
      </c>
      <c r="C430">
        <v>2024</v>
      </c>
      <c r="D430" t="s">
        <v>1331</v>
      </c>
      <c r="E430">
        <v>147</v>
      </c>
      <c r="F430" t="s">
        <v>1139</v>
      </c>
      <c r="G430" t="s">
        <v>63</v>
      </c>
      <c r="H430" t="s">
        <v>64</v>
      </c>
      <c r="I430" t="s">
        <v>1332</v>
      </c>
      <c r="J430" t="s">
        <v>50</v>
      </c>
      <c r="K430">
        <v>7.2</v>
      </c>
      <c r="L430">
        <v>8.5</v>
      </c>
      <c r="M430">
        <v>19</v>
      </c>
      <c r="N430">
        <v>2080</v>
      </c>
      <c r="O430">
        <v>673</v>
      </c>
      <c r="P430">
        <v>19</v>
      </c>
      <c r="Q430">
        <v>143</v>
      </c>
      <c r="R430">
        <v>491</v>
      </c>
      <c r="S430">
        <v>446.58261446582623</v>
      </c>
      <c r="T430" t="s">
        <v>71</v>
      </c>
      <c r="U430">
        <v>27670</v>
      </c>
      <c r="V430">
        <v>8</v>
      </c>
      <c r="W430">
        <v>7</v>
      </c>
      <c r="X430">
        <v>1.5069999999999999</v>
      </c>
      <c r="Y430">
        <v>18.2</v>
      </c>
      <c r="Z430" t="s">
        <v>133</v>
      </c>
      <c r="AA430">
        <v>51</v>
      </c>
      <c r="AB430">
        <v>49</v>
      </c>
      <c r="AC430" t="s">
        <v>53</v>
      </c>
      <c r="AD430">
        <v>19734</v>
      </c>
      <c r="AE430">
        <v>8631</v>
      </c>
      <c r="AF430">
        <v>647.61</v>
      </c>
      <c r="AG430">
        <v>98</v>
      </c>
      <c r="AH430">
        <v>2</v>
      </c>
      <c r="AI430">
        <v>56.843244897959181</v>
      </c>
      <c r="AJ430">
        <v>29.74</v>
      </c>
      <c r="AK430">
        <v>38.11</v>
      </c>
      <c r="AL430">
        <v>19.260000000000002</v>
      </c>
      <c r="AM430">
        <v>801</v>
      </c>
      <c r="AN430">
        <v>42.89</v>
      </c>
      <c r="AO430">
        <v>207.8</v>
      </c>
      <c r="AP430">
        <v>18.2</v>
      </c>
      <c r="AQ430">
        <v>8</v>
      </c>
    </row>
    <row r="431" spans="1:43" x14ac:dyDescent="0.3">
      <c r="A431">
        <v>430</v>
      </c>
      <c r="B431" t="s">
        <v>1333</v>
      </c>
      <c r="C431">
        <v>2024</v>
      </c>
      <c r="D431" t="s">
        <v>1331</v>
      </c>
      <c r="E431">
        <v>39</v>
      </c>
      <c r="F431" t="s">
        <v>1139</v>
      </c>
      <c r="G431" t="s">
        <v>107</v>
      </c>
      <c r="H431" t="s">
        <v>108</v>
      </c>
      <c r="I431" t="s">
        <v>166</v>
      </c>
      <c r="J431" t="s">
        <v>50</v>
      </c>
      <c r="K431">
        <v>8.3000000000000007</v>
      </c>
      <c r="L431">
        <v>10.5</v>
      </c>
      <c r="M431">
        <v>13.5</v>
      </c>
      <c r="N431">
        <v>18986</v>
      </c>
      <c r="O431">
        <v>60048</v>
      </c>
      <c r="P431">
        <v>13.5</v>
      </c>
      <c r="Q431">
        <v>240</v>
      </c>
      <c r="R431">
        <v>15.7</v>
      </c>
      <c r="S431">
        <v>5.21</v>
      </c>
      <c r="T431" t="s">
        <v>96</v>
      </c>
      <c r="U431">
        <v>23843</v>
      </c>
      <c r="V431">
        <v>14</v>
      </c>
      <c r="W431">
        <v>20</v>
      </c>
      <c r="X431">
        <v>1.109</v>
      </c>
      <c r="Y431">
        <v>38.4</v>
      </c>
      <c r="Z431" t="s">
        <v>1334</v>
      </c>
      <c r="AA431">
        <v>76</v>
      </c>
      <c r="AB431">
        <v>24</v>
      </c>
      <c r="AC431" t="s">
        <v>53</v>
      </c>
      <c r="AD431">
        <v>16605</v>
      </c>
      <c r="AE431">
        <v>5999</v>
      </c>
      <c r="AF431">
        <v>373.87</v>
      </c>
      <c r="AG431">
        <v>21</v>
      </c>
      <c r="AH431">
        <v>54</v>
      </c>
      <c r="AI431">
        <v>57.368190476190478</v>
      </c>
      <c r="AJ431">
        <v>42.18</v>
      </c>
      <c r="AK431">
        <v>66.97</v>
      </c>
      <c r="AL431">
        <v>30.67</v>
      </c>
      <c r="AM431">
        <v>801</v>
      </c>
      <c r="AN431">
        <v>42.89</v>
      </c>
      <c r="AO431">
        <v>14.38</v>
      </c>
      <c r="AP431">
        <v>38.4</v>
      </c>
      <c r="AQ431">
        <v>14</v>
      </c>
    </row>
    <row r="432" spans="1:43" x14ac:dyDescent="0.3">
      <c r="A432">
        <v>431</v>
      </c>
      <c r="B432" t="s">
        <v>1335</v>
      </c>
      <c r="C432">
        <v>2024</v>
      </c>
      <c r="D432" t="s">
        <v>1331</v>
      </c>
      <c r="E432">
        <v>2</v>
      </c>
      <c r="F432" t="s">
        <v>1139</v>
      </c>
      <c r="G432" t="s">
        <v>1235</v>
      </c>
      <c r="H432" t="s">
        <v>100</v>
      </c>
      <c r="I432" t="s">
        <v>1236</v>
      </c>
      <c r="J432" t="s">
        <v>50</v>
      </c>
      <c r="K432">
        <v>15.6</v>
      </c>
      <c r="L432">
        <v>34.799999999999997</v>
      </c>
      <c r="M432">
        <v>12</v>
      </c>
      <c r="N432">
        <v>1499</v>
      </c>
      <c r="O432">
        <v>17849</v>
      </c>
      <c r="P432">
        <v>12</v>
      </c>
      <c r="Q432">
        <v>114</v>
      </c>
      <c r="R432">
        <v>26</v>
      </c>
      <c r="S432">
        <v>2.34</v>
      </c>
      <c r="T432" t="s">
        <v>96</v>
      </c>
      <c r="U432">
        <v>6237</v>
      </c>
      <c r="V432">
        <v>0</v>
      </c>
      <c r="W432">
        <v>0</v>
      </c>
      <c r="X432">
        <v>486</v>
      </c>
      <c r="Y432">
        <v>13.2</v>
      </c>
      <c r="Z432" t="s">
        <v>1336</v>
      </c>
      <c r="AA432">
        <v>46.742948009999999</v>
      </c>
      <c r="AB432">
        <v>53.257051990000001</v>
      </c>
      <c r="AC432" t="s">
        <v>53</v>
      </c>
      <c r="AD432">
        <v>4365</v>
      </c>
      <c r="AE432">
        <v>1449</v>
      </c>
      <c r="AF432">
        <v>1222.8800000000001</v>
      </c>
      <c r="AG432">
        <v>7</v>
      </c>
      <c r="AH432">
        <v>855</v>
      </c>
      <c r="AI432">
        <v>30.616428571428571</v>
      </c>
      <c r="AJ432">
        <v>19.73</v>
      </c>
      <c r="AK432">
        <v>18.03</v>
      </c>
      <c r="AL432">
        <v>4.42</v>
      </c>
      <c r="AM432">
        <v>801</v>
      </c>
      <c r="AN432">
        <v>42.89</v>
      </c>
      <c r="AO432">
        <v>17.600000000000001</v>
      </c>
      <c r="AP432">
        <v>13.2</v>
      </c>
      <c r="AQ432">
        <v>0</v>
      </c>
    </row>
    <row r="433" spans="1:43" x14ac:dyDescent="0.3">
      <c r="A433">
        <v>432</v>
      </c>
      <c r="B433" t="s">
        <v>1337</v>
      </c>
      <c r="C433">
        <v>2024</v>
      </c>
      <c r="D433" t="s">
        <v>1331</v>
      </c>
      <c r="E433">
        <v>136</v>
      </c>
      <c r="F433" t="s">
        <v>1139</v>
      </c>
      <c r="G433" t="s">
        <v>63</v>
      </c>
      <c r="H433" t="s">
        <v>64</v>
      </c>
      <c r="I433" t="s">
        <v>1338</v>
      </c>
      <c r="J433" t="s">
        <v>65</v>
      </c>
      <c r="K433">
        <v>3</v>
      </c>
      <c r="L433">
        <v>5.3</v>
      </c>
      <c r="M433">
        <v>18.3</v>
      </c>
      <c r="N433">
        <v>791</v>
      </c>
      <c r="O433">
        <v>6701</v>
      </c>
      <c r="P433">
        <v>18.3</v>
      </c>
      <c r="Q433">
        <v>92</v>
      </c>
      <c r="R433">
        <v>13</v>
      </c>
      <c r="S433">
        <v>2.68</v>
      </c>
      <c r="T433" t="s">
        <v>96</v>
      </c>
      <c r="U433">
        <v>3217</v>
      </c>
      <c r="V433">
        <v>27</v>
      </c>
      <c r="W433">
        <v>29</v>
      </c>
      <c r="X433">
        <v>276</v>
      </c>
      <c r="Y433">
        <v>12.2</v>
      </c>
      <c r="Z433" t="s">
        <v>82</v>
      </c>
      <c r="AA433">
        <v>55</v>
      </c>
      <c r="AB433">
        <v>45</v>
      </c>
      <c r="AC433" t="s">
        <v>53</v>
      </c>
      <c r="AD433">
        <v>2635</v>
      </c>
      <c r="AE433">
        <v>988</v>
      </c>
      <c r="AF433">
        <v>647.61</v>
      </c>
      <c r="AG433">
        <v>98</v>
      </c>
      <c r="AH433">
        <v>2</v>
      </c>
      <c r="AI433">
        <v>56.843244897959181</v>
      </c>
      <c r="AJ433">
        <v>29.74</v>
      </c>
      <c r="AK433">
        <v>38.11</v>
      </c>
      <c r="AL433">
        <v>19.260000000000002</v>
      </c>
      <c r="AM433">
        <v>801</v>
      </c>
      <c r="AN433">
        <v>42.89</v>
      </c>
      <c r="AO433">
        <v>16.18</v>
      </c>
      <c r="AP433">
        <v>12.2</v>
      </c>
      <c r="AQ433">
        <v>27</v>
      </c>
    </row>
    <row r="434" spans="1:43" x14ac:dyDescent="0.3">
      <c r="A434">
        <v>433</v>
      </c>
      <c r="B434" t="s">
        <v>1339</v>
      </c>
      <c r="C434">
        <v>2024</v>
      </c>
      <c r="D434" t="s">
        <v>1331</v>
      </c>
      <c r="E434">
        <v>80</v>
      </c>
      <c r="F434" t="s">
        <v>1139</v>
      </c>
      <c r="G434" t="s">
        <v>47</v>
      </c>
      <c r="H434" t="s">
        <v>48</v>
      </c>
      <c r="I434" t="s">
        <v>686</v>
      </c>
      <c r="J434" t="s">
        <v>50</v>
      </c>
      <c r="K434">
        <v>5.5</v>
      </c>
      <c r="L434">
        <v>4.8</v>
      </c>
      <c r="M434">
        <v>7.6</v>
      </c>
      <c r="N434">
        <v>8434</v>
      </c>
      <c r="O434">
        <v>26902</v>
      </c>
      <c r="P434">
        <v>7.6</v>
      </c>
      <c r="Q434">
        <v>158</v>
      </c>
      <c r="R434">
        <v>11.6</v>
      </c>
      <c r="S434">
        <v>4.53</v>
      </c>
      <c r="T434" t="s">
        <v>58</v>
      </c>
      <c r="U434">
        <v>23125</v>
      </c>
      <c r="V434">
        <v>37</v>
      </c>
      <c r="W434">
        <v>47</v>
      </c>
      <c r="X434">
        <v>1.2210000000000001</v>
      </c>
      <c r="Y434">
        <v>18.5</v>
      </c>
      <c r="Z434" t="s">
        <v>116</v>
      </c>
      <c r="AA434">
        <v>48</v>
      </c>
      <c r="AB434">
        <v>52</v>
      </c>
      <c r="AC434" t="s">
        <v>53</v>
      </c>
      <c r="AD434">
        <v>16823</v>
      </c>
      <c r="AE434">
        <v>6832</v>
      </c>
      <c r="AF434">
        <v>614.48</v>
      </c>
      <c r="AG434">
        <v>69</v>
      </c>
      <c r="AH434">
        <v>1</v>
      </c>
      <c r="AI434">
        <v>50.817340579710141</v>
      </c>
      <c r="AJ434">
        <v>35.82</v>
      </c>
      <c r="AK434">
        <v>38.92</v>
      </c>
      <c r="AL434">
        <v>35.29</v>
      </c>
      <c r="AM434">
        <v>801</v>
      </c>
      <c r="AN434">
        <v>42.89</v>
      </c>
      <c r="AO434">
        <v>9.1999999999999993</v>
      </c>
      <c r="AP434">
        <v>18.5</v>
      </c>
      <c r="AQ434">
        <v>37</v>
      </c>
    </row>
    <row r="435" spans="1:43" x14ac:dyDescent="0.3">
      <c r="A435">
        <v>434</v>
      </c>
      <c r="B435" t="s">
        <v>1340</v>
      </c>
      <c r="C435">
        <v>2024</v>
      </c>
      <c r="D435" t="s">
        <v>1331</v>
      </c>
      <c r="E435">
        <v>89</v>
      </c>
      <c r="F435" t="s">
        <v>1139</v>
      </c>
      <c r="G435" t="s">
        <v>47</v>
      </c>
      <c r="H435" t="s">
        <v>48</v>
      </c>
      <c r="I435" t="s">
        <v>613</v>
      </c>
      <c r="J435" t="s">
        <v>50</v>
      </c>
      <c r="K435">
        <v>4.9000000000000004</v>
      </c>
      <c r="L435">
        <v>4.2</v>
      </c>
      <c r="M435">
        <v>10.4</v>
      </c>
      <c r="N435">
        <v>2899</v>
      </c>
      <c r="O435">
        <v>15190</v>
      </c>
      <c r="P435">
        <v>10.4</v>
      </c>
      <c r="Q435">
        <v>115</v>
      </c>
      <c r="R435">
        <v>14.9</v>
      </c>
      <c r="S435">
        <v>4.3499999999999996</v>
      </c>
      <c r="T435" t="s">
        <v>96</v>
      </c>
      <c r="U435">
        <v>12415</v>
      </c>
      <c r="V435">
        <v>34</v>
      </c>
      <c r="W435">
        <v>21</v>
      </c>
      <c r="X435">
        <v>613</v>
      </c>
      <c r="Y435">
        <v>22.4</v>
      </c>
      <c r="Z435" t="s">
        <v>185</v>
      </c>
      <c r="AA435">
        <v>55</v>
      </c>
      <c r="AB435">
        <v>45</v>
      </c>
      <c r="AC435" t="s">
        <v>53</v>
      </c>
      <c r="AD435">
        <v>9887</v>
      </c>
      <c r="AE435">
        <v>4728</v>
      </c>
      <c r="AF435">
        <v>614.48</v>
      </c>
      <c r="AG435">
        <v>69</v>
      </c>
      <c r="AH435">
        <v>1</v>
      </c>
      <c r="AI435">
        <v>50.817340579710141</v>
      </c>
      <c r="AJ435">
        <v>35.82</v>
      </c>
      <c r="AK435">
        <v>38.92</v>
      </c>
      <c r="AL435">
        <v>35.29</v>
      </c>
      <c r="AM435">
        <v>801</v>
      </c>
      <c r="AN435">
        <v>42.89</v>
      </c>
      <c r="AO435">
        <v>12.2</v>
      </c>
      <c r="AP435">
        <v>22.4</v>
      </c>
      <c r="AQ435">
        <v>34</v>
      </c>
    </row>
    <row r="436" spans="1:43" x14ac:dyDescent="0.3">
      <c r="A436">
        <v>435</v>
      </c>
      <c r="B436" t="s">
        <v>1341</v>
      </c>
      <c r="C436">
        <v>2024</v>
      </c>
      <c r="D436" t="s">
        <v>1331</v>
      </c>
      <c r="E436">
        <v>27</v>
      </c>
      <c r="F436" t="s">
        <v>1139</v>
      </c>
      <c r="G436" t="s">
        <v>286</v>
      </c>
      <c r="H436" t="s">
        <v>48</v>
      </c>
      <c r="I436" t="s">
        <v>1342</v>
      </c>
      <c r="J436" t="s">
        <v>50</v>
      </c>
      <c r="K436">
        <v>8.1</v>
      </c>
      <c r="L436">
        <v>2.2999999999999998</v>
      </c>
      <c r="M436">
        <v>1.8</v>
      </c>
      <c r="N436">
        <v>1075</v>
      </c>
      <c r="O436">
        <v>1576</v>
      </c>
      <c r="P436">
        <v>1.8</v>
      </c>
      <c r="Q436">
        <v>38</v>
      </c>
      <c r="R436">
        <v>5.4</v>
      </c>
      <c r="S436">
        <v>2.0699999999999998</v>
      </c>
      <c r="T436" t="s">
        <v>51</v>
      </c>
      <c r="U436">
        <v>6857</v>
      </c>
      <c r="V436">
        <v>19</v>
      </c>
      <c r="W436">
        <v>19</v>
      </c>
      <c r="X436">
        <v>921</v>
      </c>
      <c r="Y436">
        <v>17.100000000000001</v>
      </c>
      <c r="Z436" t="s">
        <v>82</v>
      </c>
      <c r="AA436">
        <v>58</v>
      </c>
      <c r="AB436">
        <v>42</v>
      </c>
      <c r="AC436" t="s">
        <v>53</v>
      </c>
      <c r="AD436">
        <v>4516</v>
      </c>
      <c r="AE436">
        <v>2195</v>
      </c>
      <c r="AF436">
        <v>1470.93</v>
      </c>
      <c r="AG436">
        <v>24</v>
      </c>
      <c r="AH436">
        <v>95</v>
      </c>
      <c r="AI436">
        <v>29.87127083333333</v>
      </c>
      <c r="AJ436">
        <v>18.23</v>
      </c>
      <c r="AK436">
        <v>14.05</v>
      </c>
      <c r="AL436">
        <v>16.72</v>
      </c>
      <c r="AM436">
        <v>801</v>
      </c>
      <c r="AN436">
        <v>42.89</v>
      </c>
      <c r="AO436">
        <v>3.24</v>
      </c>
      <c r="AP436">
        <v>17.100000000000001</v>
      </c>
      <c r="AQ436">
        <v>19</v>
      </c>
    </row>
    <row r="437" spans="1:43" x14ac:dyDescent="0.3">
      <c r="A437">
        <v>436</v>
      </c>
      <c r="B437" t="s">
        <v>1343</v>
      </c>
      <c r="C437">
        <v>2024</v>
      </c>
      <c r="D437" t="s">
        <v>1331</v>
      </c>
      <c r="E437">
        <v>1</v>
      </c>
      <c r="F437" t="s">
        <v>1139</v>
      </c>
      <c r="G437" t="s">
        <v>1344</v>
      </c>
      <c r="H437" t="s">
        <v>100</v>
      </c>
      <c r="I437" t="s">
        <v>1344</v>
      </c>
      <c r="J437" t="s">
        <v>50</v>
      </c>
      <c r="K437">
        <v>9.6999999999999993</v>
      </c>
      <c r="L437">
        <v>2.6</v>
      </c>
      <c r="M437">
        <v>1.2</v>
      </c>
      <c r="N437">
        <v>3876</v>
      </c>
      <c r="O437">
        <v>1388</v>
      </c>
      <c r="P437">
        <v>1.2</v>
      </c>
      <c r="Q437">
        <v>31</v>
      </c>
      <c r="R437">
        <v>6.6</v>
      </c>
      <c r="S437">
        <v>2.79</v>
      </c>
      <c r="T437" t="s">
        <v>96</v>
      </c>
      <c r="U437">
        <v>23278</v>
      </c>
      <c r="V437">
        <v>3</v>
      </c>
      <c r="W437">
        <v>5</v>
      </c>
      <c r="X437">
        <v>3.0179999999999998</v>
      </c>
      <c r="Y437">
        <v>30.6</v>
      </c>
      <c r="Z437" t="s">
        <v>138</v>
      </c>
      <c r="AA437">
        <v>59</v>
      </c>
      <c r="AB437">
        <v>41</v>
      </c>
      <c r="AC437" t="s">
        <v>53</v>
      </c>
      <c r="AD437">
        <v>19387</v>
      </c>
      <c r="AE437">
        <v>5590</v>
      </c>
      <c r="AF437">
        <v>1189</v>
      </c>
      <c r="AG437">
        <v>2</v>
      </c>
      <c r="AH437">
        <v>1515</v>
      </c>
      <c r="AI437">
        <v>20.734500000000001</v>
      </c>
      <c r="AJ437">
        <v>15.2</v>
      </c>
      <c r="AK437">
        <v>26</v>
      </c>
      <c r="AL437">
        <v>4.33</v>
      </c>
      <c r="AM437">
        <v>801</v>
      </c>
      <c r="AN437">
        <v>42.89</v>
      </c>
      <c r="AO437">
        <v>3.36</v>
      </c>
      <c r="AP437">
        <v>30.6</v>
      </c>
      <c r="AQ437">
        <v>3</v>
      </c>
    </row>
    <row r="438" spans="1:43" x14ac:dyDescent="0.3">
      <c r="A438">
        <v>437</v>
      </c>
      <c r="B438" t="s">
        <v>1345</v>
      </c>
      <c r="C438">
        <v>2024</v>
      </c>
      <c r="D438" t="s">
        <v>1331</v>
      </c>
      <c r="E438">
        <v>15</v>
      </c>
      <c r="F438" t="s">
        <v>1139</v>
      </c>
      <c r="G438" t="s">
        <v>532</v>
      </c>
      <c r="H438" t="s">
        <v>100</v>
      </c>
      <c r="I438" t="s">
        <v>1346</v>
      </c>
      <c r="J438" t="s">
        <v>50</v>
      </c>
      <c r="K438">
        <v>8.8000000000000007</v>
      </c>
      <c r="L438">
        <v>5.3</v>
      </c>
      <c r="M438">
        <v>1.9</v>
      </c>
      <c r="N438">
        <v>7532</v>
      </c>
      <c r="O438">
        <v>42577</v>
      </c>
      <c r="P438">
        <v>1.9</v>
      </c>
      <c r="Q438">
        <v>191</v>
      </c>
      <c r="R438">
        <v>48.1</v>
      </c>
      <c r="S438">
        <v>5.48</v>
      </c>
      <c r="T438" t="s">
        <v>71</v>
      </c>
      <c r="U438">
        <v>19006</v>
      </c>
      <c r="V438">
        <v>3</v>
      </c>
      <c r="W438">
        <v>2</v>
      </c>
      <c r="X438">
        <v>2.371</v>
      </c>
      <c r="Y438">
        <v>9.6</v>
      </c>
      <c r="Z438" t="s">
        <v>620</v>
      </c>
      <c r="AA438">
        <v>47</v>
      </c>
      <c r="AB438">
        <v>53</v>
      </c>
      <c r="AC438" t="s">
        <v>53</v>
      </c>
      <c r="AD438">
        <v>8867</v>
      </c>
      <c r="AE438">
        <v>3111</v>
      </c>
      <c r="AF438">
        <v>788.07</v>
      </c>
      <c r="AG438">
        <v>9</v>
      </c>
      <c r="AH438">
        <v>424</v>
      </c>
      <c r="AI438">
        <v>39.266333333333343</v>
      </c>
      <c r="AJ438">
        <v>28.29</v>
      </c>
      <c r="AK438">
        <v>30.02</v>
      </c>
      <c r="AL438">
        <v>13.2</v>
      </c>
      <c r="AM438">
        <v>801</v>
      </c>
      <c r="AN438">
        <v>42.89</v>
      </c>
      <c r="AO438">
        <v>20.38</v>
      </c>
      <c r="AP438">
        <v>9.6</v>
      </c>
      <c r="AQ438">
        <v>3</v>
      </c>
    </row>
    <row r="439" spans="1:43" x14ac:dyDescent="0.3">
      <c r="A439">
        <v>438</v>
      </c>
      <c r="B439" t="s">
        <v>1347</v>
      </c>
      <c r="C439">
        <v>2024</v>
      </c>
      <c r="D439" t="s">
        <v>1331</v>
      </c>
      <c r="E439">
        <v>2</v>
      </c>
      <c r="F439" t="s">
        <v>1139</v>
      </c>
      <c r="G439" t="s">
        <v>1348</v>
      </c>
      <c r="H439" t="s">
        <v>48</v>
      </c>
      <c r="I439" t="s">
        <v>1349</v>
      </c>
      <c r="J439" t="s">
        <v>50</v>
      </c>
      <c r="K439">
        <v>11.3</v>
      </c>
      <c r="L439">
        <v>21.8</v>
      </c>
      <c r="M439">
        <v>6.8</v>
      </c>
      <c r="N439">
        <v>813</v>
      </c>
      <c r="O439">
        <v>6299</v>
      </c>
      <c r="P439">
        <v>6.8</v>
      </c>
      <c r="Q439">
        <v>73</v>
      </c>
      <c r="R439">
        <v>16.3</v>
      </c>
      <c r="S439">
        <v>2.65</v>
      </c>
      <c r="T439" t="s">
        <v>58</v>
      </c>
      <c r="U439">
        <v>7986</v>
      </c>
      <c r="V439">
        <v>8</v>
      </c>
      <c r="W439">
        <v>11</v>
      </c>
      <c r="X439">
        <v>719</v>
      </c>
      <c r="Y439">
        <v>13.3</v>
      </c>
      <c r="Z439" t="s">
        <v>564</v>
      </c>
      <c r="AA439">
        <v>34</v>
      </c>
      <c r="AB439">
        <v>66</v>
      </c>
      <c r="AC439" t="s">
        <v>53</v>
      </c>
      <c r="AD439">
        <v>5917</v>
      </c>
      <c r="AE439">
        <v>1391</v>
      </c>
      <c r="AF439">
        <v>819.83</v>
      </c>
      <c r="AG439">
        <v>2</v>
      </c>
      <c r="AH439">
        <v>1259</v>
      </c>
      <c r="AI439">
        <v>25.487749999999998</v>
      </c>
      <c r="AJ439">
        <v>18.72</v>
      </c>
      <c r="AK439">
        <v>13.46</v>
      </c>
      <c r="AL439">
        <v>20.170000000000002</v>
      </c>
      <c r="AM439">
        <v>801</v>
      </c>
      <c r="AN439">
        <v>42.89</v>
      </c>
      <c r="AO439">
        <v>10.6</v>
      </c>
      <c r="AP439">
        <v>13.3</v>
      </c>
      <c r="AQ439">
        <v>8</v>
      </c>
    </row>
    <row r="440" spans="1:43" x14ac:dyDescent="0.3">
      <c r="A440">
        <v>439</v>
      </c>
      <c r="B440" t="s">
        <v>1350</v>
      </c>
      <c r="C440">
        <v>2024</v>
      </c>
      <c r="D440" t="s">
        <v>1331</v>
      </c>
      <c r="E440">
        <v>82</v>
      </c>
      <c r="F440" t="s">
        <v>1139</v>
      </c>
      <c r="G440" t="s">
        <v>63</v>
      </c>
      <c r="H440" t="s">
        <v>64</v>
      </c>
      <c r="I440" t="s">
        <v>1351</v>
      </c>
      <c r="J440" t="s">
        <v>50</v>
      </c>
      <c r="K440">
        <v>9.6999999999999993</v>
      </c>
      <c r="L440">
        <v>8.3000000000000007</v>
      </c>
      <c r="M440">
        <v>16.2</v>
      </c>
      <c r="N440">
        <v>11019</v>
      </c>
      <c r="O440">
        <v>108</v>
      </c>
      <c r="P440">
        <v>16.2</v>
      </c>
      <c r="Q440">
        <v>156</v>
      </c>
      <c r="R440">
        <v>190</v>
      </c>
      <c r="S440">
        <v>72.483221476510067</v>
      </c>
      <c r="T440" t="s">
        <v>51</v>
      </c>
      <c r="U440">
        <v>31112</v>
      </c>
      <c r="V440">
        <v>4</v>
      </c>
      <c r="W440">
        <v>4</v>
      </c>
      <c r="X440">
        <v>1.49</v>
      </c>
      <c r="Y440">
        <v>19.399999999999999</v>
      </c>
      <c r="Z440" t="s">
        <v>146</v>
      </c>
      <c r="AA440">
        <v>56</v>
      </c>
      <c r="AB440">
        <v>44</v>
      </c>
      <c r="AC440" t="s">
        <v>53</v>
      </c>
      <c r="AD440">
        <v>24824</v>
      </c>
      <c r="AE440">
        <v>8914</v>
      </c>
      <c r="AF440">
        <v>647.61</v>
      </c>
      <c r="AG440">
        <v>98</v>
      </c>
      <c r="AH440">
        <v>2</v>
      </c>
      <c r="AI440">
        <v>56.843244897959181</v>
      </c>
      <c r="AJ440">
        <v>29.74</v>
      </c>
      <c r="AK440">
        <v>38.11</v>
      </c>
      <c r="AL440">
        <v>19.260000000000002</v>
      </c>
      <c r="AM440">
        <v>801</v>
      </c>
      <c r="AN440">
        <v>42.89</v>
      </c>
      <c r="AO440">
        <v>85.72</v>
      </c>
      <c r="AP440">
        <v>19.399999999999999</v>
      </c>
      <c r="AQ440">
        <v>4</v>
      </c>
    </row>
    <row r="441" spans="1:43" x14ac:dyDescent="0.3">
      <c r="A441">
        <v>440</v>
      </c>
      <c r="B441" t="s">
        <v>1352</v>
      </c>
      <c r="C441">
        <v>2024</v>
      </c>
      <c r="D441" t="s">
        <v>1331</v>
      </c>
      <c r="E441">
        <v>10</v>
      </c>
      <c r="F441" t="s">
        <v>1139</v>
      </c>
      <c r="G441" t="s">
        <v>484</v>
      </c>
      <c r="H441" t="s">
        <v>48</v>
      </c>
      <c r="I441" t="s">
        <v>1353</v>
      </c>
      <c r="J441" t="s">
        <v>50</v>
      </c>
      <c r="K441">
        <v>10</v>
      </c>
      <c r="L441">
        <v>9.1999999999999993</v>
      </c>
      <c r="M441">
        <v>12.6</v>
      </c>
      <c r="N441">
        <v>2170</v>
      </c>
      <c r="O441">
        <v>19459</v>
      </c>
      <c r="P441">
        <v>12.6</v>
      </c>
      <c r="Q441">
        <v>136</v>
      </c>
      <c r="R441">
        <v>38.799999999999997</v>
      </c>
      <c r="S441">
        <v>3.08</v>
      </c>
      <c r="T441" t="s">
        <v>77</v>
      </c>
      <c r="U441">
        <v>11885</v>
      </c>
      <c r="V441">
        <v>12</v>
      </c>
      <c r="W441">
        <v>15</v>
      </c>
      <c r="X441">
        <v>686</v>
      </c>
      <c r="Y441">
        <v>28.5</v>
      </c>
      <c r="Z441" t="s">
        <v>116</v>
      </c>
      <c r="AA441">
        <v>57</v>
      </c>
      <c r="AB441">
        <v>43</v>
      </c>
      <c r="AC441" t="s">
        <v>53</v>
      </c>
      <c r="AD441">
        <v>7125</v>
      </c>
      <c r="AE441">
        <v>5138</v>
      </c>
      <c r="AF441">
        <v>440</v>
      </c>
      <c r="AG441">
        <v>7</v>
      </c>
      <c r="AH441">
        <v>231</v>
      </c>
      <c r="AI441">
        <v>47.207928571428567</v>
      </c>
      <c r="AJ441">
        <v>44.34</v>
      </c>
      <c r="AK441">
        <v>40.61</v>
      </c>
      <c r="AL441">
        <v>28.35</v>
      </c>
      <c r="AM441">
        <v>801</v>
      </c>
      <c r="AN441">
        <v>42.89</v>
      </c>
      <c r="AO441">
        <v>23.08</v>
      </c>
      <c r="AP441">
        <v>28.5</v>
      </c>
      <c r="AQ441">
        <v>12</v>
      </c>
    </row>
    <row r="442" spans="1:43" x14ac:dyDescent="0.3">
      <c r="A442">
        <v>441</v>
      </c>
      <c r="B442" t="s">
        <v>1354</v>
      </c>
      <c r="C442">
        <v>2024</v>
      </c>
      <c r="D442" t="s">
        <v>1331</v>
      </c>
      <c r="E442">
        <v>24</v>
      </c>
      <c r="F442" t="s">
        <v>1139</v>
      </c>
      <c r="G442" t="s">
        <v>131</v>
      </c>
      <c r="H442" t="s">
        <v>100</v>
      </c>
      <c r="I442" t="s">
        <v>1355</v>
      </c>
      <c r="J442" t="s">
        <v>50</v>
      </c>
      <c r="K442">
        <v>6.9</v>
      </c>
      <c r="L442">
        <v>2.2000000000000002</v>
      </c>
      <c r="M442">
        <v>6.2</v>
      </c>
      <c r="N442">
        <v>2258</v>
      </c>
      <c r="O442">
        <v>460</v>
      </c>
      <c r="P442">
        <v>6.2</v>
      </c>
      <c r="Q442">
        <v>70</v>
      </c>
      <c r="R442">
        <v>666</v>
      </c>
      <c r="S442">
        <v>353.03146584804301</v>
      </c>
      <c r="T442" t="s">
        <v>96</v>
      </c>
      <c r="U442">
        <v>8782</v>
      </c>
      <c r="V442">
        <v>5</v>
      </c>
      <c r="W442">
        <v>5</v>
      </c>
      <c r="X442">
        <v>1.3029999999999999</v>
      </c>
      <c r="Y442">
        <v>6.7</v>
      </c>
      <c r="Z442" t="s">
        <v>332</v>
      </c>
      <c r="AA442">
        <v>39</v>
      </c>
      <c r="AB442">
        <v>61</v>
      </c>
      <c r="AC442" t="s">
        <v>53</v>
      </c>
      <c r="AD442">
        <v>5605</v>
      </c>
      <c r="AE442">
        <v>3142</v>
      </c>
      <c r="AF442">
        <v>1349.57</v>
      </c>
      <c r="AG442">
        <v>37</v>
      </c>
      <c r="AH442">
        <v>29</v>
      </c>
      <c r="AI442">
        <v>35.237824324324329</v>
      </c>
      <c r="AJ442">
        <v>25.61</v>
      </c>
      <c r="AK442">
        <v>22.27</v>
      </c>
      <c r="AL442">
        <v>5.48</v>
      </c>
      <c r="AM442">
        <v>801</v>
      </c>
      <c r="AN442">
        <v>42.89</v>
      </c>
      <c r="AO442">
        <v>270.12</v>
      </c>
      <c r="AP442">
        <v>6.7</v>
      </c>
      <c r="AQ442">
        <v>5</v>
      </c>
    </row>
    <row r="443" spans="1:43" x14ac:dyDescent="0.3">
      <c r="A443">
        <v>442</v>
      </c>
      <c r="B443" t="s">
        <v>1356</v>
      </c>
      <c r="C443">
        <v>2024</v>
      </c>
      <c r="D443" t="s">
        <v>1331</v>
      </c>
      <c r="E443">
        <v>52</v>
      </c>
      <c r="F443" t="s">
        <v>1139</v>
      </c>
      <c r="G443" t="s">
        <v>99</v>
      </c>
      <c r="H443" t="s">
        <v>100</v>
      </c>
      <c r="I443" t="s">
        <v>436</v>
      </c>
      <c r="J443" t="s">
        <v>50</v>
      </c>
      <c r="K443">
        <v>4.7</v>
      </c>
      <c r="L443">
        <v>2.6</v>
      </c>
      <c r="M443">
        <v>47.3</v>
      </c>
      <c r="N443">
        <v>16797</v>
      </c>
      <c r="O443">
        <v>673</v>
      </c>
      <c r="P443">
        <v>47.3</v>
      </c>
      <c r="Q443">
        <v>785</v>
      </c>
      <c r="R443">
        <v>469</v>
      </c>
      <c r="S443">
        <v>316.11085016439642</v>
      </c>
      <c r="T443" t="s">
        <v>71</v>
      </c>
      <c r="U443">
        <v>33883</v>
      </c>
      <c r="V443">
        <v>3</v>
      </c>
      <c r="W443">
        <v>2</v>
      </c>
      <c r="X443">
        <v>2.129</v>
      </c>
      <c r="Y443">
        <v>15.4</v>
      </c>
      <c r="Z443" t="s">
        <v>457</v>
      </c>
      <c r="AA443">
        <v>57.464133920000002</v>
      </c>
      <c r="AB443">
        <v>42.535866079999998</v>
      </c>
      <c r="AC443" t="s">
        <v>53</v>
      </c>
      <c r="AD443">
        <v>30594</v>
      </c>
      <c r="AE443">
        <v>5441</v>
      </c>
      <c r="AF443">
        <v>616.32000000000005</v>
      </c>
      <c r="AG443">
        <v>35</v>
      </c>
      <c r="AH443">
        <v>12</v>
      </c>
      <c r="AI443">
        <v>56.538228571428569</v>
      </c>
      <c r="AJ443">
        <v>21.88</v>
      </c>
      <c r="AK443">
        <v>70.61</v>
      </c>
      <c r="AL443">
        <v>14.17</v>
      </c>
      <c r="AM443">
        <v>801</v>
      </c>
      <c r="AN443">
        <v>42.89</v>
      </c>
      <c r="AO443">
        <v>215.98</v>
      </c>
      <c r="AP443">
        <v>15.4</v>
      </c>
      <c r="AQ443">
        <v>3</v>
      </c>
    </row>
    <row r="444" spans="1:43" x14ac:dyDescent="0.3">
      <c r="A444">
        <v>443</v>
      </c>
      <c r="B444" t="s">
        <v>1357</v>
      </c>
      <c r="C444">
        <v>2024</v>
      </c>
      <c r="D444" t="s">
        <v>1331</v>
      </c>
      <c r="E444">
        <v>7</v>
      </c>
      <c r="F444" t="s">
        <v>1139</v>
      </c>
      <c r="G444" t="s">
        <v>492</v>
      </c>
      <c r="H444" t="s">
        <v>493</v>
      </c>
      <c r="I444" t="s">
        <v>1358</v>
      </c>
      <c r="J444" t="s">
        <v>50</v>
      </c>
      <c r="K444">
        <v>7.1</v>
      </c>
      <c r="L444">
        <v>9.1</v>
      </c>
      <c r="M444">
        <v>13</v>
      </c>
      <c r="N444">
        <v>9526</v>
      </c>
      <c r="O444">
        <v>1001</v>
      </c>
      <c r="P444">
        <v>13</v>
      </c>
      <c r="Q444">
        <v>155</v>
      </c>
      <c r="R444">
        <v>823</v>
      </c>
      <c r="S444">
        <v>0.6033755274261603</v>
      </c>
      <c r="T444" t="s">
        <v>51</v>
      </c>
      <c r="U444">
        <v>39684</v>
      </c>
      <c r="V444">
        <v>3</v>
      </c>
      <c r="W444">
        <v>2</v>
      </c>
      <c r="X444">
        <v>1659</v>
      </c>
      <c r="Y444">
        <v>25.5</v>
      </c>
      <c r="Z444" t="s">
        <v>138</v>
      </c>
      <c r="AA444">
        <v>63</v>
      </c>
      <c r="AB444">
        <v>37</v>
      </c>
      <c r="AC444" t="s">
        <v>53</v>
      </c>
      <c r="AD444">
        <v>31438</v>
      </c>
      <c r="AE444">
        <v>10346</v>
      </c>
      <c r="AF444">
        <v>773.03</v>
      </c>
      <c r="AG444">
        <v>8</v>
      </c>
      <c r="AH444">
        <v>167</v>
      </c>
      <c r="AI444">
        <v>43.070812500000002</v>
      </c>
      <c r="AJ444">
        <v>26.92</v>
      </c>
      <c r="AK444">
        <v>35.4</v>
      </c>
      <c r="AL444">
        <v>8.7799999999999994</v>
      </c>
      <c r="AM444">
        <v>801</v>
      </c>
      <c r="AN444">
        <v>42.89</v>
      </c>
      <c r="AO444">
        <v>337</v>
      </c>
      <c r="AP444">
        <v>25.5</v>
      </c>
      <c r="AQ444">
        <v>3</v>
      </c>
    </row>
    <row r="445" spans="1:43" x14ac:dyDescent="0.3">
      <c r="A445">
        <v>444</v>
      </c>
      <c r="B445" t="s">
        <v>1359</v>
      </c>
      <c r="C445">
        <v>2024</v>
      </c>
      <c r="D445" t="s">
        <v>1331</v>
      </c>
      <c r="E445">
        <v>126</v>
      </c>
      <c r="F445" t="s">
        <v>1139</v>
      </c>
      <c r="G445" t="s">
        <v>63</v>
      </c>
      <c r="H445" t="s">
        <v>64</v>
      </c>
      <c r="I445" t="s">
        <v>1360</v>
      </c>
      <c r="J445" t="s">
        <v>50</v>
      </c>
      <c r="K445">
        <v>11</v>
      </c>
      <c r="L445">
        <v>11.8</v>
      </c>
      <c r="M445">
        <v>15.3</v>
      </c>
      <c r="N445">
        <v>8067</v>
      </c>
      <c r="O445">
        <v>363</v>
      </c>
      <c r="P445">
        <v>15.3</v>
      </c>
      <c r="Q445">
        <v>191</v>
      </c>
      <c r="R445">
        <v>423</v>
      </c>
      <c r="S445">
        <v>204.85327313769761</v>
      </c>
      <c r="T445" t="s">
        <v>77</v>
      </c>
      <c r="U445">
        <v>37331</v>
      </c>
      <c r="V445">
        <v>6</v>
      </c>
      <c r="W445">
        <v>8</v>
      </c>
      <c r="X445">
        <v>1.772</v>
      </c>
      <c r="Y445">
        <v>21.1</v>
      </c>
      <c r="Z445" t="s">
        <v>133</v>
      </c>
      <c r="AA445">
        <v>50</v>
      </c>
      <c r="AB445">
        <v>50</v>
      </c>
      <c r="AC445" t="s">
        <v>53</v>
      </c>
      <c r="AD445">
        <v>26476</v>
      </c>
      <c r="AE445">
        <v>11155</v>
      </c>
      <c r="AF445">
        <v>647.61</v>
      </c>
      <c r="AG445">
        <v>98</v>
      </c>
      <c r="AH445">
        <v>2</v>
      </c>
      <c r="AI445">
        <v>56.843244897959181</v>
      </c>
      <c r="AJ445">
        <v>29.74</v>
      </c>
      <c r="AK445">
        <v>38.11</v>
      </c>
      <c r="AL445">
        <v>19.260000000000002</v>
      </c>
      <c r="AM445">
        <v>801</v>
      </c>
      <c r="AN445">
        <v>42.89</v>
      </c>
      <c r="AO445">
        <v>178.38</v>
      </c>
      <c r="AP445">
        <v>21.1</v>
      </c>
      <c r="AQ445">
        <v>6</v>
      </c>
    </row>
    <row r="446" spans="1:43" x14ac:dyDescent="0.3">
      <c r="A446">
        <v>445</v>
      </c>
      <c r="B446" t="s">
        <v>1361</v>
      </c>
      <c r="C446">
        <v>2024</v>
      </c>
      <c r="D446" t="s">
        <v>1331</v>
      </c>
      <c r="E446">
        <v>22</v>
      </c>
      <c r="F446" t="s">
        <v>1139</v>
      </c>
      <c r="G446" t="s">
        <v>1123</v>
      </c>
      <c r="H446" t="s">
        <v>100</v>
      </c>
      <c r="I446" t="s">
        <v>1362</v>
      </c>
      <c r="J446" t="s">
        <v>65</v>
      </c>
      <c r="K446">
        <v>12.9</v>
      </c>
      <c r="L446">
        <v>36.4</v>
      </c>
      <c r="M446">
        <v>5.0999999999999996</v>
      </c>
      <c r="N446">
        <v>5422</v>
      </c>
      <c r="O446">
        <v>18175</v>
      </c>
      <c r="P446">
        <v>5.0999999999999996</v>
      </c>
      <c r="Q446">
        <v>104</v>
      </c>
      <c r="R446">
        <v>16.399999999999999</v>
      </c>
      <c r="S446">
        <v>3.34</v>
      </c>
      <c r="T446" t="s">
        <v>96</v>
      </c>
      <c r="U446">
        <v>19080</v>
      </c>
      <c r="V446">
        <v>9</v>
      </c>
      <c r="W446">
        <v>13</v>
      </c>
      <c r="X446">
        <v>1.1240000000000001</v>
      </c>
      <c r="Y446">
        <v>17.2</v>
      </c>
      <c r="Z446" t="s">
        <v>66</v>
      </c>
      <c r="AA446">
        <v>52</v>
      </c>
      <c r="AB446">
        <v>48</v>
      </c>
      <c r="AC446" t="s">
        <v>53</v>
      </c>
      <c r="AD446">
        <v>8423</v>
      </c>
      <c r="AE446">
        <v>7307</v>
      </c>
      <c r="AF446">
        <v>795.19</v>
      </c>
      <c r="AG446">
        <v>8</v>
      </c>
      <c r="AH446">
        <v>685</v>
      </c>
      <c r="AI446">
        <v>29.588437500000001</v>
      </c>
      <c r="AJ446">
        <v>29.39</v>
      </c>
      <c r="AK446">
        <v>22.69</v>
      </c>
      <c r="AL446">
        <v>21.22</v>
      </c>
      <c r="AM446">
        <v>801</v>
      </c>
      <c r="AN446">
        <v>42.89</v>
      </c>
      <c r="AO446">
        <v>9.6199999999999992</v>
      </c>
      <c r="AP446">
        <v>17.2</v>
      </c>
      <c r="AQ446">
        <v>9</v>
      </c>
    </row>
    <row r="447" spans="1:43" x14ac:dyDescent="0.3">
      <c r="A447">
        <v>446</v>
      </c>
      <c r="B447" t="s">
        <v>1363</v>
      </c>
      <c r="C447">
        <v>2024</v>
      </c>
      <c r="D447" t="s">
        <v>1331</v>
      </c>
      <c r="E447">
        <v>27</v>
      </c>
      <c r="F447" t="s">
        <v>1139</v>
      </c>
      <c r="G447" t="s">
        <v>481</v>
      </c>
      <c r="H447" t="s">
        <v>48</v>
      </c>
      <c r="I447" t="s">
        <v>1364</v>
      </c>
      <c r="J447" t="s">
        <v>50</v>
      </c>
      <c r="K447">
        <v>13.4</v>
      </c>
      <c r="L447">
        <v>6.2</v>
      </c>
      <c r="M447">
        <v>8</v>
      </c>
      <c r="N447">
        <v>1706</v>
      </c>
      <c r="O447">
        <v>673</v>
      </c>
      <c r="P447">
        <v>8</v>
      </c>
      <c r="Q447">
        <v>270</v>
      </c>
      <c r="R447">
        <v>700</v>
      </c>
      <c r="S447">
        <v>366.15886833514691</v>
      </c>
      <c r="T447" t="s">
        <v>71</v>
      </c>
      <c r="U447">
        <v>22767</v>
      </c>
      <c r="V447">
        <v>10</v>
      </c>
      <c r="W447">
        <v>9</v>
      </c>
      <c r="X447">
        <v>1.8380000000000001</v>
      </c>
      <c r="Y447">
        <v>14.5</v>
      </c>
      <c r="Z447" t="s">
        <v>82</v>
      </c>
      <c r="AA447">
        <v>59</v>
      </c>
      <c r="AB447">
        <v>41</v>
      </c>
      <c r="AC447" t="s">
        <v>53</v>
      </c>
      <c r="AD447">
        <v>12709</v>
      </c>
      <c r="AE447">
        <v>9132</v>
      </c>
      <c r="AF447">
        <v>906.25</v>
      </c>
      <c r="AG447">
        <v>9</v>
      </c>
      <c r="AH447">
        <v>313</v>
      </c>
      <c r="AI447">
        <v>39.444055555555551</v>
      </c>
      <c r="AJ447">
        <v>32.270000000000003</v>
      </c>
      <c r="AK447">
        <v>29.18</v>
      </c>
      <c r="AL447">
        <v>17.100000000000001</v>
      </c>
      <c r="AM447">
        <v>801</v>
      </c>
      <c r="AN447">
        <v>42.89</v>
      </c>
      <c r="AO447">
        <v>284.8</v>
      </c>
      <c r="AP447">
        <v>14.5</v>
      </c>
      <c r="AQ447">
        <v>10</v>
      </c>
    </row>
    <row r="448" spans="1:43" x14ac:dyDescent="0.3">
      <c r="A448">
        <v>447</v>
      </c>
      <c r="B448" t="s">
        <v>1365</v>
      </c>
      <c r="C448">
        <v>2024</v>
      </c>
      <c r="D448" t="s">
        <v>1331</v>
      </c>
      <c r="E448">
        <v>17</v>
      </c>
      <c r="F448" t="s">
        <v>1139</v>
      </c>
      <c r="G448" t="s">
        <v>590</v>
      </c>
      <c r="H448" t="s">
        <v>100</v>
      </c>
      <c r="I448" t="s">
        <v>1282</v>
      </c>
      <c r="J448" t="s">
        <v>50</v>
      </c>
      <c r="K448">
        <v>15.7</v>
      </c>
      <c r="L448">
        <v>4.3</v>
      </c>
      <c r="M448">
        <v>20.3</v>
      </c>
      <c r="N448">
        <v>8457</v>
      </c>
      <c r="O448">
        <v>1001</v>
      </c>
      <c r="P448">
        <v>20.3</v>
      </c>
      <c r="Q448">
        <v>172</v>
      </c>
      <c r="R448">
        <v>798</v>
      </c>
      <c r="S448">
        <v>1.2949547218628721</v>
      </c>
      <c r="T448" t="s">
        <v>77</v>
      </c>
      <c r="U448">
        <v>17879</v>
      </c>
      <c r="V448">
        <v>0</v>
      </c>
      <c r="W448">
        <v>23.566786050000001</v>
      </c>
      <c r="X448">
        <v>773</v>
      </c>
      <c r="Y448">
        <v>14.2</v>
      </c>
      <c r="Z448" t="s">
        <v>87</v>
      </c>
      <c r="AA448">
        <v>55.59144259</v>
      </c>
      <c r="AB448">
        <v>44.40855741</v>
      </c>
      <c r="AC448" t="s">
        <v>53</v>
      </c>
      <c r="AD448">
        <v>16396</v>
      </c>
      <c r="AE448">
        <v>7069</v>
      </c>
      <c r="AF448">
        <v>1100.42</v>
      </c>
      <c r="AG448">
        <v>16</v>
      </c>
      <c r="AH448">
        <v>218</v>
      </c>
      <c r="AI448">
        <v>38.128875000000001</v>
      </c>
      <c r="AJ448">
        <v>27.22</v>
      </c>
      <c r="AK448">
        <v>36.06</v>
      </c>
      <c r="AL448">
        <v>6.8</v>
      </c>
      <c r="AM448">
        <v>801</v>
      </c>
      <c r="AN448">
        <v>42.89</v>
      </c>
      <c r="AO448">
        <v>331.38</v>
      </c>
      <c r="AP448">
        <v>14.2</v>
      </c>
      <c r="AQ448">
        <v>0</v>
      </c>
    </row>
    <row r="449" spans="1:43" x14ac:dyDescent="0.3">
      <c r="A449">
        <v>448</v>
      </c>
      <c r="B449" t="s">
        <v>1366</v>
      </c>
      <c r="C449">
        <v>2024</v>
      </c>
      <c r="D449" t="s">
        <v>1331</v>
      </c>
      <c r="E449">
        <v>2</v>
      </c>
      <c r="F449" t="s">
        <v>1139</v>
      </c>
      <c r="G449" t="s">
        <v>1291</v>
      </c>
      <c r="H449" t="s">
        <v>48</v>
      </c>
      <c r="I449" t="s">
        <v>1292</v>
      </c>
      <c r="J449" t="s">
        <v>50</v>
      </c>
      <c r="K449">
        <v>12.5</v>
      </c>
      <c r="L449">
        <v>17.8</v>
      </c>
      <c r="M449">
        <v>6.1</v>
      </c>
      <c r="N449">
        <v>5140</v>
      </c>
      <c r="O449">
        <v>8951</v>
      </c>
      <c r="P449">
        <v>6.1</v>
      </c>
      <c r="Q449">
        <v>113</v>
      </c>
      <c r="R449">
        <v>12.4</v>
      </c>
      <c r="S449">
        <v>2.8</v>
      </c>
      <c r="T449" t="s">
        <v>58</v>
      </c>
      <c r="U449">
        <v>12125</v>
      </c>
      <c r="V449">
        <v>7</v>
      </c>
      <c r="W449">
        <v>9</v>
      </c>
      <c r="X449">
        <v>570</v>
      </c>
      <c r="Y449">
        <v>30.2</v>
      </c>
      <c r="Z449" t="s">
        <v>1308</v>
      </c>
      <c r="AA449">
        <v>67</v>
      </c>
      <c r="AB449">
        <v>33</v>
      </c>
      <c r="AC449" t="s">
        <v>53</v>
      </c>
      <c r="AD449">
        <v>8056</v>
      </c>
      <c r="AE449">
        <v>3578</v>
      </c>
      <c r="AF449">
        <v>1090.4000000000001</v>
      </c>
      <c r="AG449">
        <v>2</v>
      </c>
      <c r="AH449">
        <v>1081</v>
      </c>
      <c r="AI449">
        <v>30.577999999999999</v>
      </c>
      <c r="AJ449">
        <v>12.43</v>
      </c>
      <c r="AK449">
        <v>12.11</v>
      </c>
      <c r="AL449">
        <v>21.79</v>
      </c>
      <c r="AM449">
        <v>801</v>
      </c>
      <c r="AN449">
        <v>42.89</v>
      </c>
      <c r="AO449">
        <v>8.6199999999999992</v>
      </c>
      <c r="AP449">
        <v>30.2</v>
      </c>
      <c r="AQ449">
        <v>7</v>
      </c>
    </row>
    <row r="450" spans="1:43" x14ac:dyDescent="0.3">
      <c r="A450">
        <v>449</v>
      </c>
      <c r="B450" t="s">
        <v>1367</v>
      </c>
      <c r="C450">
        <v>2024</v>
      </c>
      <c r="D450" t="s">
        <v>1331</v>
      </c>
      <c r="E450">
        <v>28</v>
      </c>
      <c r="F450" t="s">
        <v>1139</v>
      </c>
      <c r="G450" t="s">
        <v>384</v>
      </c>
      <c r="H450" t="s">
        <v>48</v>
      </c>
      <c r="I450" t="s">
        <v>1368</v>
      </c>
      <c r="J450" t="s">
        <v>50</v>
      </c>
      <c r="K450">
        <v>7.9</v>
      </c>
      <c r="L450">
        <v>2.1</v>
      </c>
      <c r="M450">
        <v>31.9</v>
      </c>
      <c r="N450">
        <v>10806</v>
      </c>
      <c r="O450">
        <v>541</v>
      </c>
      <c r="P450">
        <v>31.9</v>
      </c>
      <c r="Q450">
        <v>220</v>
      </c>
      <c r="R450">
        <v>610</v>
      </c>
      <c r="S450">
        <v>0.4608177172061329</v>
      </c>
      <c r="T450" t="s">
        <v>51</v>
      </c>
      <c r="U450">
        <v>26142</v>
      </c>
      <c r="V450">
        <v>2</v>
      </c>
      <c r="W450">
        <v>4</v>
      </c>
      <c r="X450">
        <v>1174</v>
      </c>
      <c r="Y450">
        <v>26.5</v>
      </c>
      <c r="Z450" t="s">
        <v>146</v>
      </c>
      <c r="AA450">
        <v>57</v>
      </c>
      <c r="AB450">
        <v>43</v>
      </c>
      <c r="AC450" t="s">
        <v>53</v>
      </c>
      <c r="AD450">
        <v>13798</v>
      </c>
      <c r="AE450">
        <v>6708</v>
      </c>
      <c r="AF450">
        <v>644.77</v>
      </c>
      <c r="AG450">
        <v>18</v>
      </c>
      <c r="AH450">
        <v>181</v>
      </c>
      <c r="AI450">
        <v>47.393000000000001</v>
      </c>
      <c r="AJ450">
        <v>35.17</v>
      </c>
      <c r="AK450">
        <v>47.49</v>
      </c>
      <c r="AL450">
        <v>13.04</v>
      </c>
      <c r="AM450">
        <v>801</v>
      </c>
      <c r="AN450">
        <v>42.89</v>
      </c>
      <c r="AO450">
        <v>263.14</v>
      </c>
      <c r="AP450">
        <v>26.5</v>
      </c>
      <c r="AQ450">
        <v>2</v>
      </c>
    </row>
    <row r="451" spans="1:43" x14ac:dyDescent="0.3">
      <c r="A451">
        <v>450</v>
      </c>
      <c r="B451" t="s">
        <v>1369</v>
      </c>
      <c r="C451">
        <v>2024</v>
      </c>
      <c r="D451" t="s">
        <v>1331</v>
      </c>
      <c r="E451">
        <v>4</v>
      </c>
      <c r="F451" t="s">
        <v>1139</v>
      </c>
      <c r="G451" t="s">
        <v>924</v>
      </c>
      <c r="H451" t="s">
        <v>100</v>
      </c>
      <c r="I451" t="s">
        <v>1222</v>
      </c>
      <c r="J451" t="s">
        <v>65</v>
      </c>
      <c r="K451">
        <v>11.5</v>
      </c>
      <c r="L451">
        <v>33.5</v>
      </c>
      <c r="M451">
        <v>1.3</v>
      </c>
      <c r="N451">
        <v>4324</v>
      </c>
      <c r="O451">
        <v>4825</v>
      </c>
      <c r="P451">
        <v>1.3</v>
      </c>
      <c r="Q451">
        <v>62</v>
      </c>
      <c r="R451">
        <v>11</v>
      </c>
      <c r="S451">
        <v>1.58</v>
      </c>
      <c r="T451" t="s">
        <v>96</v>
      </c>
      <c r="U451">
        <v>31813</v>
      </c>
      <c r="V451">
        <v>7</v>
      </c>
      <c r="W451">
        <v>6</v>
      </c>
      <c r="X451">
        <v>1990</v>
      </c>
      <c r="Y451">
        <v>13.3</v>
      </c>
      <c r="Z451" t="s">
        <v>66</v>
      </c>
      <c r="AA451">
        <v>58</v>
      </c>
      <c r="AB451">
        <v>42</v>
      </c>
      <c r="AC451" t="s">
        <v>53</v>
      </c>
      <c r="AD451">
        <v>24863</v>
      </c>
      <c r="AE451">
        <v>17390</v>
      </c>
      <c r="AF451">
        <v>1052</v>
      </c>
      <c r="AG451">
        <v>4</v>
      </c>
      <c r="AH451">
        <v>1050</v>
      </c>
      <c r="AI451">
        <v>25.698499999999999</v>
      </c>
      <c r="AJ451">
        <v>27.65</v>
      </c>
      <c r="AK451">
        <v>8.1300000000000008</v>
      </c>
      <c r="AL451">
        <v>6.39</v>
      </c>
      <c r="AM451">
        <v>801</v>
      </c>
      <c r="AN451">
        <v>42.89</v>
      </c>
      <c r="AO451">
        <v>5.18</v>
      </c>
      <c r="AP451">
        <v>13.3</v>
      </c>
      <c r="AQ451">
        <v>7</v>
      </c>
    </row>
    <row r="452" spans="1:43" x14ac:dyDescent="0.3">
      <c r="A452">
        <v>451</v>
      </c>
      <c r="B452" t="s">
        <v>1370</v>
      </c>
      <c r="C452">
        <v>2024</v>
      </c>
      <c r="D452" t="s">
        <v>1331</v>
      </c>
      <c r="E452">
        <v>60</v>
      </c>
      <c r="F452" t="s">
        <v>1139</v>
      </c>
      <c r="G452" t="s">
        <v>384</v>
      </c>
      <c r="H452" t="s">
        <v>48</v>
      </c>
      <c r="I452" t="s">
        <v>1371</v>
      </c>
      <c r="J452" t="s">
        <v>50</v>
      </c>
      <c r="K452">
        <v>8.6999999999999993</v>
      </c>
      <c r="L452">
        <v>2.9</v>
      </c>
      <c r="M452">
        <v>40</v>
      </c>
      <c r="N452">
        <v>7242</v>
      </c>
      <c r="O452">
        <v>82917</v>
      </c>
      <c r="P452">
        <v>40</v>
      </c>
      <c r="Q452">
        <v>262</v>
      </c>
      <c r="R452">
        <v>31.6</v>
      </c>
      <c r="S452">
        <v>3.43</v>
      </c>
      <c r="T452" t="s">
        <v>71</v>
      </c>
      <c r="U452">
        <v>20968</v>
      </c>
      <c r="V452">
        <v>4</v>
      </c>
      <c r="W452">
        <v>5</v>
      </c>
      <c r="X452">
        <v>904</v>
      </c>
      <c r="Y452">
        <v>26</v>
      </c>
      <c r="Z452" t="s">
        <v>620</v>
      </c>
      <c r="AA452">
        <v>64</v>
      </c>
      <c r="AB452">
        <v>36</v>
      </c>
      <c r="AC452" t="s">
        <v>53</v>
      </c>
      <c r="AD452">
        <v>16767</v>
      </c>
      <c r="AE452">
        <v>5042</v>
      </c>
      <c r="AF452">
        <v>644.77</v>
      </c>
      <c r="AG452">
        <v>18</v>
      </c>
      <c r="AH452">
        <v>181</v>
      </c>
      <c r="AI452">
        <v>47.393000000000001</v>
      </c>
      <c r="AJ452">
        <v>35.17</v>
      </c>
      <c r="AK452">
        <v>47.49</v>
      </c>
      <c r="AL452">
        <v>13.04</v>
      </c>
      <c r="AM452">
        <v>801</v>
      </c>
      <c r="AN452">
        <v>42.89</v>
      </c>
      <c r="AO452">
        <v>36.64</v>
      </c>
      <c r="AP452">
        <v>26</v>
      </c>
      <c r="AQ452">
        <v>4</v>
      </c>
    </row>
    <row r="453" spans="1:43" x14ac:dyDescent="0.3">
      <c r="A453">
        <v>452</v>
      </c>
      <c r="B453" t="s">
        <v>1372</v>
      </c>
      <c r="C453">
        <v>2024</v>
      </c>
      <c r="D453" t="s">
        <v>1331</v>
      </c>
      <c r="E453">
        <v>2</v>
      </c>
      <c r="F453" t="s">
        <v>1139</v>
      </c>
      <c r="G453" t="s">
        <v>1348</v>
      </c>
      <c r="H453" t="s">
        <v>48</v>
      </c>
      <c r="I453" t="s">
        <v>1349</v>
      </c>
      <c r="J453" t="s">
        <v>50</v>
      </c>
      <c r="K453">
        <v>11</v>
      </c>
      <c r="L453">
        <v>20.6</v>
      </c>
      <c r="M453">
        <v>2.1</v>
      </c>
      <c r="N453">
        <v>1785</v>
      </c>
      <c r="O453">
        <v>2430</v>
      </c>
      <c r="P453">
        <v>2.1</v>
      </c>
      <c r="Q453">
        <v>44</v>
      </c>
      <c r="R453">
        <v>9.5</v>
      </c>
      <c r="S453">
        <v>2.97</v>
      </c>
      <c r="T453" t="s">
        <v>51</v>
      </c>
      <c r="U453">
        <v>8210</v>
      </c>
      <c r="V453">
        <v>15</v>
      </c>
      <c r="W453">
        <v>19</v>
      </c>
      <c r="X453">
        <v>686</v>
      </c>
      <c r="Y453">
        <v>11.2</v>
      </c>
      <c r="Z453" t="s">
        <v>138</v>
      </c>
      <c r="AA453">
        <v>71</v>
      </c>
      <c r="AB453">
        <v>29</v>
      </c>
      <c r="AC453" t="s">
        <v>53</v>
      </c>
      <c r="AD453">
        <v>6070</v>
      </c>
      <c r="AE453">
        <v>2311</v>
      </c>
      <c r="AF453">
        <v>819.83</v>
      </c>
      <c r="AG453">
        <v>2</v>
      </c>
      <c r="AH453">
        <v>1259</v>
      </c>
      <c r="AI453">
        <v>25.487749999999998</v>
      </c>
      <c r="AJ453">
        <v>18.72</v>
      </c>
      <c r="AK453">
        <v>13.46</v>
      </c>
      <c r="AL453">
        <v>20.170000000000002</v>
      </c>
      <c r="AM453">
        <v>801</v>
      </c>
      <c r="AN453">
        <v>42.89</v>
      </c>
      <c r="AO453">
        <v>5.0599999999999996</v>
      </c>
      <c r="AP453">
        <v>11.2</v>
      </c>
      <c r="AQ453">
        <v>15</v>
      </c>
    </row>
    <row r="454" spans="1:43" x14ac:dyDescent="0.3">
      <c r="A454">
        <v>453</v>
      </c>
      <c r="B454" t="s">
        <v>1373</v>
      </c>
      <c r="C454">
        <v>2024</v>
      </c>
      <c r="D454" t="s">
        <v>1331</v>
      </c>
      <c r="E454">
        <v>19</v>
      </c>
      <c r="F454" t="s">
        <v>1139</v>
      </c>
      <c r="G454" t="s">
        <v>131</v>
      </c>
      <c r="H454" t="s">
        <v>100</v>
      </c>
      <c r="I454" t="s">
        <v>1374</v>
      </c>
      <c r="J454" t="s">
        <v>50</v>
      </c>
      <c r="K454">
        <v>3.3</v>
      </c>
      <c r="L454">
        <v>2.6</v>
      </c>
      <c r="M454">
        <v>10.3</v>
      </c>
      <c r="N454">
        <v>530</v>
      </c>
      <c r="O454">
        <v>541</v>
      </c>
      <c r="P454">
        <v>10.3</v>
      </c>
      <c r="Q454">
        <v>55</v>
      </c>
      <c r="R454">
        <v>790</v>
      </c>
      <c r="S454">
        <v>0.60854893138357702</v>
      </c>
      <c r="T454" t="s">
        <v>58</v>
      </c>
      <c r="U454">
        <v>5144</v>
      </c>
      <c r="V454">
        <v>3</v>
      </c>
      <c r="W454">
        <v>3</v>
      </c>
      <c r="X454">
        <v>889</v>
      </c>
      <c r="Y454">
        <v>6</v>
      </c>
      <c r="Z454" t="s">
        <v>146</v>
      </c>
      <c r="AA454">
        <v>55</v>
      </c>
      <c r="AB454">
        <v>45</v>
      </c>
      <c r="AC454" t="s">
        <v>53</v>
      </c>
      <c r="AD454">
        <v>3533</v>
      </c>
      <c r="AE454">
        <v>1609</v>
      </c>
      <c r="AF454">
        <v>1349.57</v>
      </c>
      <c r="AG454">
        <v>37</v>
      </c>
      <c r="AH454">
        <v>29</v>
      </c>
      <c r="AI454">
        <v>35.237824324324329</v>
      </c>
      <c r="AJ454">
        <v>25.61</v>
      </c>
      <c r="AK454">
        <v>22.27</v>
      </c>
      <c r="AL454">
        <v>5.48</v>
      </c>
      <c r="AM454">
        <v>801</v>
      </c>
      <c r="AN454">
        <v>42.89</v>
      </c>
      <c r="AO454">
        <v>322.18</v>
      </c>
      <c r="AP454">
        <v>6</v>
      </c>
      <c r="AQ454">
        <v>3</v>
      </c>
    </row>
    <row r="455" spans="1:43" x14ac:dyDescent="0.3">
      <c r="A455">
        <v>454</v>
      </c>
      <c r="B455" t="s">
        <v>1375</v>
      </c>
      <c r="C455">
        <v>2024</v>
      </c>
      <c r="D455" t="s">
        <v>1376</v>
      </c>
      <c r="E455">
        <v>12</v>
      </c>
      <c r="F455" t="s">
        <v>1139</v>
      </c>
      <c r="G455" t="s">
        <v>161</v>
      </c>
      <c r="H455" t="s">
        <v>100</v>
      </c>
      <c r="I455" t="s">
        <v>796</v>
      </c>
      <c r="J455" t="s">
        <v>50</v>
      </c>
      <c r="K455">
        <v>11.7</v>
      </c>
      <c r="L455">
        <v>5</v>
      </c>
      <c r="M455">
        <v>14.3</v>
      </c>
      <c r="N455">
        <v>3984</v>
      </c>
      <c r="O455">
        <v>405</v>
      </c>
      <c r="P455">
        <v>14.3</v>
      </c>
      <c r="Q455">
        <v>140</v>
      </c>
      <c r="R455">
        <v>317</v>
      </c>
      <c r="S455">
        <v>172.92912040990609</v>
      </c>
      <c r="T455" t="s">
        <v>71</v>
      </c>
      <c r="U455">
        <v>22051</v>
      </c>
      <c r="V455">
        <v>7</v>
      </c>
      <c r="W455">
        <v>8</v>
      </c>
      <c r="X455">
        <v>2.3420000000000001</v>
      </c>
      <c r="Y455">
        <v>17.7</v>
      </c>
      <c r="Z455" t="s">
        <v>59</v>
      </c>
      <c r="AA455">
        <v>51</v>
      </c>
      <c r="AB455">
        <v>49</v>
      </c>
      <c r="AC455" t="s">
        <v>53</v>
      </c>
      <c r="AD455">
        <v>12666</v>
      </c>
      <c r="AE455">
        <v>4048</v>
      </c>
      <c r="AF455">
        <v>682.03</v>
      </c>
      <c r="AG455">
        <v>18</v>
      </c>
      <c r="AH455">
        <v>62</v>
      </c>
      <c r="AI455">
        <v>43.175027777777778</v>
      </c>
      <c r="AJ455">
        <v>22.69</v>
      </c>
      <c r="AK455">
        <v>33</v>
      </c>
      <c r="AL455">
        <v>15.2</v>
      </c>
      <c r="AM455">
        <v>851</v>
      </c>
      <c r="AN455">
        <v>39.31</v>
      </c>
      <c r="AO455">
        <v>135.38</v>
      </c>
      <c r="AP455">
        <v>17.7</v>
      </c>
      <c r="AQ455">
        <v>7</v>
      </c>
    </row>
    <row r="456" spans="1:43" x14ac:dyDescent="0.3">
      <c r="A456">
        <v>455</v>
      </c>
      <c r="B456" t="s">
        <v>1377</v>
      </c>
      <c r="C456">
        <v>2024</v>
      </c>
      <c r="D456" t="s">
        <v>1376</v>
      </c>
      <c r="E456">
        <v>18</v>
      </c>
      <c r="F456" t="s">
        <v>1139</v>
      </c>
      <c r="G456" t="s">
        <v>161</v>
      </c>
      <c r="H456" t="s">
        <v>100</v>
      </c>
      <c r="I456" t="s">
        <v>1378</v>
      </c>
      <c r="J456" t="s">
        <v>50</v>
      </c>
      <c r="K456">
        <v>11.7</v>
      </c>
      <c r="L456">
        <v>8</v>
      </c>
      <c r="M456">
        <v>10.6</v>
      </c>
      <c r="N456">
        <v>5774</v>
      </c>
      <c r="O456">
        <v>1001</v>
      </c>
      <c r="P456">
        <v>10.6</v>
      </c>
      <c r="Q456">
        <v>163</v>
      </c>
      <c r="R456">
        <v>403</v>
      </c>
      <c r="S456">
        <v>506.32271117855328</v>
      </c>
      <c r="T456" t="s">
        <v>96</v>
      </c>
      <c r="U456">
        <v>20334</v>
      </c>
      <c r="V456">
        <v>4</v>
      </c>
      <c r="W456">
        <v>3</v>
      </c>
      <c r="X456">
        <v>1.9770000000000001</v>
      </c>
      <c r="Y456">
        <v>19.8</v>
      </c>
      <c r="Z456" t="s">
        <v>72</v>
      </c>
      <c r="AA456">
        <v>47</v>
      </c>
      <c r="AB456">
        <v>53</v>
      </c>
      <c r="AC456" t="s">
        <v>53</v>
      </c>
      <c r="AD456">
        <v>13538</v>
      </c>
      <c r="AE456">
        <v>7254</v>
      </c>
      <c r="AF456">
        <v>682.03</v>
      </c>
      <c r="AG456">
        <v>18</v>
      </c>
      <c r="AH456">
        <v>62</v>
      </c>
      <c r="AI456">
        <v>43.175027777777778</v>
      </c>
      <c r="AJ456">
        <v>22.69</v>
      </c>
      <c r="AK456">
        <v>33</v>
      </c>
      <c r="AL456">
        <v>15.2</v>
      </c>
      <c r="AM456">
        <v>851</v>
      </c>
      <c r="AN456">
        <v>39.31</v>
      </c>
      <c r="AO456">
        <v>167.56</v>
      </c>
      <c r="AP456">
        <v>19.8</v>
      </c>
      <c r="AQ456">
        <v>4</v>
      </c>
    </row>
    <row r="457" spans="1:43" x14ac:dyDescent="0.3">
      <c r="A457">
        <v>456</v>
      </c>
      <c r="B457" t="s">
        <v>1379</v>
      </c>
      <c r="C457">
        <v>2024</v>
      </c>
      <c r="D457" t="s">
        <v>1376</v>
      </c>
      <c r="E457">
        <v>42</v>
      </c>
      <c r="F457" t="s">
        <v>1139</v>
      </c>
      <c r="G457" t="s">
        <v>155</v>
      </c>
      <c r="H457" t="s">
        <v>48</v>
      </c>
      <c r="I457" t="s">
        <v>155</v>
      </c>
      <c r="J457" t="s">
        <v>50</v>
      </c>
      <c r="K457">
        <v>3.4</v>
      </c>
      <c r="L457">
        <v>2.7</v>
      </c>
      <c r="M457">
        <v>6.5</v>
      </c>
      <c r="N457">
        <v>1324</v>
      </c>
      <c r="O457">
        <v>7944</v>
      </c>
      <c r="P457">
        <v>6.5</v>
      </c>
      <c r="Q457">
        <v>104</v>
      </c>
      <c r="R457">
        <v>6.3</v>
      </c>
      <c r="S457">
        <v>1.1399999999999999</v>
      </c>
      <c r="T457" t="s">
        <v>96</v>
      </c>
      <c r="U457">
        <v>16082</v>
      </c>
      <c r="V457">
        <v>26</v>
      </c>
      <c r="W457">
        <v>27</v>
      </c>
      <c r="X457">
        <v>790</v>
      </c>
      <c r="Y457">
        <v>19.5</v>
      </c>
      <c r="Z457" t="s">
        <v>185</v>
      </c>
      <c r="AA457">
        <v>50</v>
      </c>
      <c r="AB457">
        <v>50</v>
      </c>
      <c r="AC457" t="s">
        <v>53</v>
      </c>
      <c r="AD457">
        <v>9921</v>
      </c>
      <c r="AE457">
        <v>6753</v>
      </c>
      <c r="AF457">
        <v>858.67</v>
      </c>
      <c r="AG457">
        <v>9</v>
      </c>
      <c r="AH457">
        <v>58</v>
      </c>
      <c r="AI457">
        <v>54.703833333333343</v>
      </c>
      <c r="AJ457">
        <v>33.89</v>
      </c>
      <c r="AK457">
        <v>35.92</v>
      </c>
      <c r="AL457">
        <v>20.8</v>
      </c>
      <c r="AM457">
        <v>851</v>
      </c>
      <c r="AN457">
        <v>39.31</v>
      </c>
      <c r="AO457">
        <v>6.42</v>
      </c>
      <c r="AP457">
        <v>19.5</v>
      </c>
      <c r="AQ457">
        <v>26</v>
      </c>
    </row>
    <row r="458" spans="1:43" x14ac:dyDescent="0.3">
      <c r="A458">
        <v>457</v>
      </c>
      <c r="B458" t="s">
        <v>1380</v>
      </c>
      <c r="C458">
        <v>2024</v>
      </c>
      <c r="D458" t="s">
        <v>1376</v>
      </c>
      <c r="E458">
        <v>13</v>
      </c>
      <c r="F458" t="s">
        <v>1139</v>
      </c>
      <c r="G458" t="s">
        <v>755</v>
      </c>
      <c r="H458" t="s">
        <v>48</v>
      </c>
      <c r="I458" t="s">
        <v>1381</v>
      </c>
      <c r="J458" t="s">
        <v>50</v>
      </c>
      <c r="K458">
        <v>9.1999999999999993</v>
      </c>
      <c r="L458">
        <v>14.4</v>
      </c>
      <c r="M458">
        <v>11.8</v>
      </c>
      <c r="N458">
        <v>4411</v>
      </c>
      <c r="O458">
        <v>31177</v>
      </c>
      <c r="P458">
        <v>11.8</v>
      </c>
      <c r="Q458">
        <v>169</v>
      </c>
      <c r="R458">
        <v>29.5</v>
      </c>
      <c r="S458">
        <v>3.85</v>
      </c>
      <c r="T458" t="s">
        <v>77</v>
      </c>
      <c r="U458">
        <v>13903</v>
      </c>
      <c r="V458">
        <v>5</v>
      </c>
      <c r="W458">
        <v>7</v>
      </c>
      <c r="X458">
        <v>1.1870000000000001</v>
      </c>
      <c r="Y458">
        <v>17.899999999999999</v>
      </c>
      <c r="Z458" t="s">
        <v>852</v>
      </c>
      <c r="AA458">
        <v>39</v>
      </c>
      <c r="AB458">
        <v>61</v>
      </c>
      <c r="AC458" t="s">
        <v>53</v>
      </c>
      <c r="AD458">
        <v>11063</v>
      </c>
      <c r="AE458">
        <v>3621</v>
      </c>
      <c r="AF458">
        <v>1260.32</v>
      </c>
      <c r="AG458">
        <v>8</v>
      </c>
      <c r="AH458">
        <v>614</v>
      </c>
      <c r="AI458">
        <v>28.03875</v>
      </c>
      <c r="AJ458">
        <v>23.47</v>
      </c>
      <c r="AK458">
        <v>21.97</v>
      </c>
      <c r="AL458">
        <v>11.88</v>
      </c>
      <c r="AM458">
        <v>851</v>
      </c>
      <c r="AN458">
        <v>39.31</v>
      </c>
      <c r="AO458">
        <v>18.88</v>
      </c>
      <c r="AP458">
        <v>17.899999999999999</v>
      </c>
      <c r="AQ458">
        <v>5</v>
      </c>
    </row>
    <row r="459" spans="1:43" x14ac:dyDescent="0.3">
      <c r="A459">
        <v>458</v>
      </c>
      <c r="B459" t="s">
        <v>1382</v>
      </c>
      <c r="C459">
        <v>2024</v>
      </c>
      <c r="D459" t="s">
        <v>1376</v>
      </c>
      <c r="E459">
        <v>132</v>
      </c>
      <c r="F459" t="s">
        <v>1139</v>
      </c>
      <c r="G459" t="s">
        <v>63</v>
      </c>
      <c r="H459" t="s">
        <v>64</v>
      </c>
      <c r="I459" t="s">
        <v>305</v>
      </c>
      <c r="J459" t="s">
        <v>50</v>
      </c>
      <c r="K459">
        <v>11.7</v>
      </c>
      <c r="L459">
        <v>13.6</v>
      </c>
      <c r="M459">
        <v>20.3</v>
      </c>
      <c r="N459">
        <v>8318</v>
      </c>
      <c r="O459">
        <v>405</v>
      </c>
      <c r="P459">
        <v>20.3</v>
      </c>
      <c r="Q459">
        <v>256</v>
      </c>
      <c r="R459">
        <v>554</v>
      </c>
      <c r="S459">
        <v>316.15925058548009</v>
      </c>
      <c r="T459" t="s">
        <v>96</v>
      </c>
      <c r="U459">
        <v>30821</v>
      </c>
      <c r="V459">
        <v>7</v>
      </c>
      <c r="W459">
        <v>9</v>
      </c>
      <c r="X459">
        <v>1.2809999999999999</v>
      </c>
      <c r="Y459">
        <v>15.7</v>
      </c>
      <c r="Z459" t="s">
        <v>138</v>
      </c>
      <c r="AA459">
        <v>60</v>
      </c>
      <c r="AB459">
        <v>40</v>
      </c>
      <c r="AC459" t="s">
        <v>53</v>
      </c>
      <c r="AD459">
        <v>23514</v>
      </c>
      <c r="AE459">
        <v>8778</v>
      </c>
      <c r="AF459">
        <v>647.61</v>
      </c>
      <c r="AG459">
        <v>98</v>
      </c>
      <c r="AH459">
        <v>2</v>
      </c>
      <c r="AI459">
        <v>56.843244897959181</v>
      </c>
      <c r="AJ459">
        <v>29.74</v>
      </c>
      <c r="AK459">
        <v>38.11</v>
      </c>
      <c r="AL459">
        <v>19.260000000000002</v>
      </c>
      <c r="AM459">
        <v>851</v>
      </c>
      <c r="AN459">
        <v>39.31</v>
      </c>
      <c r="AO459">
        <v>233.78</v>
      </c>
      <c r="AP459">
        <v>15.7</v>
      </c>
      <c r="AQ459">
        <v>7</v>
      </c>
    </row>
    <row r="460" spans="1:43" x14ac:dyDescent="0.3">
      <c r="A460">
        <v>459</v>
      </c>
      <c r="B460" t="s">
        <v>1383</v>
      </c>
      <c r="C460">
        <v>2024</v>
      </c>
      <c r="D460" t="s">
        <v>1376</v>
      </c>
      <c r="E460">
        <v>17</v>
      </c>
      <c r="F460" t="s">
        <v>1139</v>
      </c>
      <c r="G460" t="s">
        <v>131</v>
      </c>
      <c r="H460" t="s">
        <v>100</v>
      </c>
      <c r="I460" t="s">
        <v>1384</v>
      </c>
      <c r="J460" t="s">
        <v>50</v>
      </c>
      <c r="K460">
        <v>9.3000000000000007</v>
      </c>
      <c r="L460">
        <v>4.4000000000000004</v>
      </c>
      <c r="M460">
        <v>12.1</v>
      </c>
      <c r="N460">
        <v>4697</v>
      </c>
      <c r="O460">
        <v>673</v>
      </c>
      <c r="P460">
        <v>12.1</v>
      </c>
      <c r="Q460">
        <v>184</v>
      </c>
      <c r="R460">
        <v>533</v>
      </c>
      <c r="S460">
        <v>543.17998385794988</v>
      </c>
      <c r="T460" t="s">
        <v>96</v>
      </c>
      <c r="U460">
        <v>10271</v>
      </c>
      <c r="V460">
        <v>6</v>
      </c>
      <c r="W460">
        <v>6</v>
      </c>
      <c r="X460">
        <v>1.2390000000000001</v>
      </c>
      <c r="Y460">
        <v>9.9</v>
      </c>
      <c r="Z460" t="s">
        <v>152</v>
      </c>
      <c r="AA460">
        <v>36</v>
      </c>
      <c r="AB460">
        <v>64</v>
      </c>
      <c r="AC460" t="s">
        <v>53</v>
      </c>
      <c r="AD460">
        <v>6808</v>
      </c>
      <c r="AE460">
        <v>3408</v>
      </c>
      <c r="AF460">
        <v>1349.57</v>
      </c>
      <c r="AG460">
        <v>37</v>
      </c>
      <c r="AH460">
        <v>29</v>
      </c>
      <c r="AI460">
        <v>35.237824324324329</v>
      </c>
      <c r="AJ460">
        <v>25.61</v>
      </c>
      <c r="AK460">
        <v>22.27</v>
      </c>
      <c r="AL460">
        <v>5.48</v>
      </c>
      <c r="AM460">
        <v>851</v>
      </c>
      <c r="AN460">
        <v>39.31</v>
      </c>
      <c r="AO460">
        <v>220.46</v>
      </c>
      <c r="AP460">
        <v>9.9</v>
      </c>
      <c r="AQ460">
        <v>6</v>
      </c>
    </row>
    <row r="461" spans="1:43" x14ac:dyDescent="0.3">
      <c r="A461">
        <v>460</v>
      </c>
      <c r="B461" t="s">
        <v>1385</v>
      </c>
      <c r="C461">
        <v>2024</v>
      </c>
      <c r="D461" t="s">
        <v>1376</v>
      </c>
      <c r="E461">
        <v>12</v>
      </c>
      <c r="F461" t="s">
        <v>1139</v>
      </c>
      <c r="G461" t="s">
        <v>532</v>
      </c>
      <c r="H461" t="s">
        <v>100</v>
      </c>
      <c r="I461" t="s">
        <v>1386</v>
      </c>
      <c r="J461" t="s">
        <v>50</v>
      </c>
      <c r="K461">
        <v>15</v>
      </c>
      <c r="L461">
        <v>8.6</v>
      </c>
      <c r="M461">
        <v>2.4</v>
      </c>
      <c r="N461">
        <v>10179</v>
      </c>
      <c r="O461">
        <v>9039</v>
      </c>
      <c r="P461">
        <v>2.4</v>
      </c>
      <c r="Q461">
        <v>95</v>
      </c>
      <c r="R461">
        <v>15.8</v>
      </c>
      <c r="S461">
        <v>4.97</v>
      </c>
      <c r="T461" t="s">
        <v>71</v>
      </c>
      <c r="U461">
        <v>29628</v>
      </c>
      <c r="V461">
        <v>2</v>
      </c>
      <c r="W461">
        <v>6</v>
      </c>
      <c r="X461">
        <v>2.1</v>
      </c>
      <c r="Y461">
        <v>14.5</v>
      </c>
      <c r="Z461" t="s">
        <v>202</v>
      </c>
      <c r="AA461">
        <v>65</v>
      </c>
      <c r="AB461">
        <v>35</v>
      </c>
      <c r="AC461" t="s">
        <v>53</v>
      </c>
      <c r="AD461">
        <v>14281</v>
      </c>
      <c r="AE461">
        <v>8085</v>
      </c>
      <c r="AF461">
        <v>788.07</v>
      </c>
      <c r="AG461">
        <v>9</v>
      </c>
      <c r="AH461">
        <v>424</v>
      </c>
      <c r="AI461">
        <v>39.266333333333343</v>
      </c>
      <c r="AJ461">
        <v>28.29</v>
      </c>
      <c r="AK461">
        <v>30.02</v>
      </c>
      <c r="AL461">
        <v>13.2</v>
      </c>
      <c r="AM461">
        <v>851</v>
      </c>
      <c r="AN461">
        <v>39.31</v>
      </c>
      <c r="AO461">
        <v>7.76</v>
      </c>
      <c r="AP461">
        <v>14.5</v>
      </c>
      <c r="AQ461">
        <v>2</v>
      </c>
    </row>
    <row r="462" spans="1:43" x14ac:dyDescent="0.3">
      <c r="A462">
        <v>461</v>
      </c>
      <c r="B462" t="s">
        <v>1387</v>
      </c>
      <c r="C462">
        <v>2024</v>
      </c>
      <c r="D462" t="s">
        <v>1376</v>
      </c>
      <c r="E462">
        <v>2</v>
      </c>
      <c r="F462" t="s">
        <v>1139</v>
      </c>
      <c r="G462" t="s">
        <v>1388</v>
      </c>
      <c r="H462" t="s">
        <v>100</v>
      </c>
      <c r="I462" t="s">
        <v>1389</v>
      </c>
      <c r="J462" t="s">
        <v>50</v>
      </c>
      <c r="K462">
        <v>13.6</v>
      </c>
      <c r="L462">
        <v>8.3000000000000007</v>
      </c>
      <c r="M462">
        <v>2.2000000000000002</v>
      </c>
      <c r="N462">
        <v>2357</v>
      </c>
      <c r="O462">
        <v>7325</v>
      </c>
      <c r="P462">
        <v>2.2000000000000002</v>
      </c>
      <c r="Q462">
        <v>61</v>
      </c>
      <c r="R462">
        <v>13.2</v>
      </c>
      <c r="S462">
        <v>1.64</v>
      </c>
      <c r="T462" t="s">
        <v>58</v>
      </c>
      <c r="U462">
        <v>34147</v>
      </c>
      <c r="V462">
        <v>13</v>
      </c>
      <c r="W462">
        <v>13</v>
      </c>
      <c r="X462">
        <v>1693</v>
      </c>
      <c r="Y462">
        <v>14.7</v>
      </c>
      <c r="Z462" t="s">
        <v>1181</v>
      </c>
      <c r="AA462">
        <v>73</v>
      </c>
      <c r="AB462">
        <v>27</v>
      </c>
      <c r="AC462" t="s">
        <v>53</v>
      </c>
      <c r="AD462">
        <v>21414</v>
      </c>
      <c r="AE462">
        <v>8529</v>
      </c>
      <c r="AF462">
        <v>758</v>
      </c>
      <c r="AG462">
        <v>1</v>
      </c>
      <c r="AH462">
        <v>1055</v>
      </c>
      <c r="AI462">
        <v>31.409500000000001</v>
      </c>
      <c r="AJ462">
        <v>20.9</v>
      </c>
      <c r="AK462">
        <v>8.33</v>
      </c>
      <c r="AL462">
        <v>18.36</v>
      </c>
      <c r="AM462">
        <v>851</v>
      </c>
      <c r="AN462">
        <v>39.31</v>
      </c>
      <c r="AO462">
        <v>6.6</v>
      </c>
      <c r="AP462">
        <v>14.7</v>
      </c>
      <c r="AQ462">
        <v>13</v>
      </c>
    </row>
    <row r="463" spans="1:43" x14ac:dyDescent="0.3">
      <c r="A463">
        <v>462</v>
      </c>
      <c r="B463" t="s">
        <v>1390</v>
      </c>
      <c r="C463">
        <v>2024</v>
      </c>
      <c r="D463" t="s">
        <v>1376</v>
      </c>
      <c r="E463">
        <v>91</v>
      </c>
      <c r="F463" t="s">
        <v>1139</v>
      </c>
      <c r="G463" t="s">
        <v>47</v>
      </c>
      <c r="H463" t="s">
        <v>48</v>
      </c>
      <c r="I463" t="s">
        <v>76</v>
      </c>
      <c r="J463" t="s">
        <v>50</v>
      </c>
      <c r="K463">
        <v>3.5</v>
      </c>
      <c r="L463">
        <v>2.9</v>
      </c>
      <c r="M463">
        <v>5.6</v>
      </c>
      <c r="N463">
        <v>2407</v>
      </c>
      <c r="O463">
        <v>4301</v>
      </c>
      <c r="P463">
        <v>5.6</v>
      </c>
      <c r="Q463">
        <v>71</v>
      </c>
      <c r="R463">
        <v>6.7</v>
      </c>
      <c r="S463">
        <v>3.6</v>
      </c>
      <c r="T463" t="s">
        <v>58</v>
      </c>
      <c r="U463">
        <v>14510</v>
      </c>
      <c r="V463">
        <v>37</v>
      </c>
      <c r="W463">
        <v>40</v>
      </c>
      <c r="X463">
        <v>814</v>
      </c>
      <c r="Y463">
        <v>17.5</v>
      </c>
      <c r="Z463" t="s">
        <v>116</v>
      </c>
      <c r="AA463">
        <v>55</v>
      </c>
      <c r="AB463">
        <v>45</v>
      </c>
      <c r="AC463" t="s">
        <v>53</v>
      </c>
      <c r="AD463">
        <v>9879</v>
      </c>
      <c r="AE463">
        <v>4546</v>
      </c>
      <c r="AF463">
        <v>614.48</v>
      </c>
      <c r="AG463">
        <v>69</v>
      </c>
      <c r="AH463">
        <v>1</v>
      </c>
      <c r="AI463">
        <v>50.817340579710141</v>
      </c>
      <c r="AJ463">
        <v>35.82</v>
      </c>
      <c r="AK463">
        <v>38.92</v>
      </c>
      <c r="AL463">
        <v>35.29</v>
      </c>
      <c r="AM463">
        <v>851</v>
      </c>
      <c r="AN463">
        <v>39.31</v>
      </c>
      <c r="AO463">
        <v>6.04</v>
      </c>
      <c r="AP463">
        <v>17.5</v>
      </c>
      <c r="AQ463">
        <v>37</v>
      </c>
    </row>
    <row r="464" spans="1:43" x14ac:dyDescent="0.3">
      <c r="A464">
        <v>463</v>
      </c>
      <c r="B464" t="s">
        <v>1391</v>
      </c>
      <c r="C464">
        <v>2024</v>
      </c>
      <c r="D464" t="s">
        <v>1376</v>
      </c>
      <c r="E464">
        <v>29</v>
      </c>
      <c r="F464" t="s">
        <v>1139</v>
      </c>
      <c r="G464" t="s">
        <v>286</v>
      </c>
      <c r="H464" t="s">
        <v>48</v>
      </c>
      <c r="I464" t="s">
        <v>1392</v>
      </c>
      <c r="J464" t="s">
        <v>50</v>
      </c>
      <c r="K464">
        <v>5.2</v>
      </c>
      <c r="L464">
        <v>2.5</v>
      </c>
      <c r="M464">
        <v>1.7</v>
      </c>
      <c r="N464">
        <v>3611</v>
      </c>
      <c r="O464">
        <v>992</v>
      </c>
      <c r="P464">
        <v>1.7</v>
      </c>
      <c r="Q464">
        <v>36</v>
      </c>
      <c r="R464">
        <v>3.7</v>
      </c>
      <c r="S464">
        <v>5.09</v>
      </c>
      <c r="T464" t="s">
        <v>58</v>
      </c>
      <c r="U464">
        <v>9664</v>
      </c>
      <c r="V464">
        <v>11</v>
      </c>
      <c r="W464">
        <v>29.949771609999999</v>
      </c>
      <c r="X464">
        <v>1.718</v>
      </c>
      <c r="Y464">
        <v>9.3000000000000007</v>
      </c>
      <c r="Z464" t="s">
        <v>110</v>
      </c>
      <c r="AA464">
        <v>43.021241379999999</v>
      </c>
      <c r="AB464">
        <v>56.978758620000001</v>
      </c>
      <c r="AC464" t="s">
        <v>53</v>
      </c>
      <c r="AD464">
        <v>9753</v>
      </c>
      <c r="AE464">
        <v>2762</v>
      </c>
      <c r="AF464">
        <v>1470.93</v>
      </c>
      <c r="AG464">
        <v>24</v>
      </c>
      <c r="AH464">
        <v>95</v>
      </c>
      <c r="AI464">
        <v>29.87127083333333</v>
      </c>
      <c r="AJ464">
        <v>18.23</v>
      </c>
      <c r="AK464">
        <v>14.05</v>
      </c>
      <c r="AL464">
        <v>16.72</v>
      </c>
      <c r="AM464">
        <v>851</v>
      </c>
      <c r="AN464">
        <v>39.31</v>
      </c>
      <c r="AO464">
        <v>2.5</v>
      </c>
      <c r="AP464">
        <v>9.3000000000000007</v>
      </c>
      <c r="AQ464">
        <v>11</v>
      </c>
    </row>
    <row r="465" spans="1:43" x14ac:dyDescent="0.3">
      <c r="A465">
        <v>464</v>
      </c>
      <c r="B465" t="s">
        <v>1393</v>
      </c>
      <c r="C465">
        <v>2024</v>
      </c>
      <c r="D465" t="s">
        <v>1376</v>
      </c>
      <c r="E465">
        <v>22</v>
      </c>
      <c r="F465" t="s">
        <v>1139</v>
      </c>
      <c r="G465" t="s">
        <v>131</v>
      </c>
      <c r="H465" t="s">
        <v>100</v>
      </c>
      <c r="I465" t="s">
        <v>1394</v>
      </c>
      <c r="J465" t="s">
        <v>50</v>
      </c>
      <c r="K465">
        <v>4.9000000000000004</v>
      </c>
      <c r="L465">
        <v>3.3</v>
      </c>
      <c r="M465">
        <v>4.5999999999999996</v>
      </c>
      <c r="N465">
        <v>1908</v>
      </c>
      <c r="O465">
        <v>673</v>
      </c>
      <c r="P465">
        <v>4.5999999999999996</v>
      </c>
      <c r="Q465">
        <v>54</v>
      </c>
      <c r="R465">
        <v>615</v>
      </c>
      <c r="S465">
        <v>343.36734693877548</v>
      </c>
      <c r="T465" t="s">
        <v>77</v>
      </c>
      <c r="U465">
        <v>11942</v>
      </c>
      <c r="V465">
        <v>3</v>
      </c>
      <c r="W465">
        <v>3</v>
      </c>
      <c r="X465">
        <v>1.96</v>
      </c>
      <c r="Y465">
        <v>7.2</v>
      </c>
      <c r="Z465" t="s">
        <v>152</v>
      </c>
      <c r="AA465">
        <v>37</v>
      </c>
      <c r="AB465">
        <v>63</v>
      </c>
      <c r="AC465" t="s">
        <v>53</v>
      </c>
      <c r="AD465">
        <v>9759</v>
      </c>
      <c r="AE465">
        <v>2067</v>
      </c>
      <c r="AF465">
        <v>1349.57</v>
      </c>
      <c r="AG465">
        <v>37</v>
      </c>
      <c r="AH465">
        <v>29</v>
      </c>
      <c r="AI465">
        <v>35.237824324324329</v>
      </c>
      <c r="AJ465">
        <v>25.61</v>
      </c>
      <c r="AK465">
        <v>22.27</v>
      </c>
      <c r="AL465">
        <v>5.48</v>
      </c>
      <c r="AM465">
        <v>851</v>
      </c>
      <c r="AN465">
        <v>39.31</v>
      </c>
      <c r="AO465">
        <v>248.76</v>
      </c>
      <c r="AP465">
        <v>7.2</v>
      </c>
      <c r="AQ465">
        <v>3</v>
      </c>
    </row>
    <row r="466" spans="1:43" x14ac:dyDescent="0.3">
      <c r="A466">
        <v>465</v>
      </c>
      <c r="B466" t="s">
        <v>1395</v>
      </c>
      <c r="C466">
        <v>2024</v>
      </c>
      <c r="D466" t="s">
        <v>1376</v>
      </c>
      <c r="E466">
        <v>4</v>
      </c>
      <c r="F466" t="s">
        <v>1139</v>
      </c>
      <c r="G466" t="s">
        <v>1235</v>
      </c>
      <c r="H466" t="s">
        <v>100</v>
      </c>
      <c r="I466" t="s">
        <v>1236</v>
      </c>
      <c r="J466" t="s">
        <v>65</v>
      </c>
      <c r="K466">
        <v>12.1</v>
      </c>
      <c r="L466">
        <v>48.4</v>
      </c>
      <c r="M466">
        <v>2.2999999999999998</v>
      </c>
      <c r="N466">
        <v>3229</v>
      </c>
      <c r="O466">
        <v>7908</v>
      </c>
      <c r="P466">
        <v>2.2999999999999998</v>
      </c>
      <c r="Q466">
        <v>94</v>
      </c>
      <c r="R466">
        <v>11.8</v>
      </c>
      <c r="S466">
        <v>2.34</v>
      </c>
      <c r="T466" t="s">
        <v>96</v>
      </c>
      <c r="U466">
        <v>18681</v>
      </c>
      <c r="V466">
        <v>0</v>
      </c>
      <c r="W466">
        <v>0</v>
      </c>
      <c r="X466">
        <v>715</v>
      </c>
      <c r="Y466">
        <v>21.3</v>
      </c>
      <c r="Z466" t="s">
        <v>78</v>
      </c>
      <c r="AA466">
        <v>44</v>
      </c>
      <c r="AB466">
        <v>56</v>
      </c>
      <c r="AC466" t="s">
        <v>53</v>
      </c>
      <c r="AD466">
        <v>9149</v>
      </c>
      <c r="AE466">
        <v>7231</v>
      </c>
      <c r="AF466">
        <v>1222.8800000000001</v>
      </c>
      <c r="AG466">
        <v>7</v>
      </c>
      <c r="AH466">
        <v>855</v>
      </c>
      <c r="AI466">
        <v>30.616428571428571</v>
      </c>
      <c r="AJ466">
        <v>19.73</v>
      </c>
      <c r="AK466">
        <v>18.03</v>
      </c>
      <c r="AL466">
        <v>4.42</v>
      </c>
      <c r="AM466">
        <v>851</v>
      </c>
      <c r="AN466">
        <v>39.31</v>
      </c>
      <c r="AO466">
        <v>6.1</v>
      </c>
      <c r="AP466">
        <v>21.3</v>
      </c>
      <c r="AQ466">
        <v>0</v>
      </c>
    </row>
    <row r="467" spans="1:43" x14ac:dyDescent="0.3">
      <c r="A467">
        <v>466</v>
      </c>
      <c r="B467" t="s">
        <v>1396</v>
      </c>
      <c r="C467">
        <v>2024</v>
      </c>
      <c r="D467" t="s">
        <v>1376</v>
      </c>
      <c r="E467">
        <v>8</v>
      </c>
      <c r="F467" t="s">
        <v>1139</v>
      </c>
      <c r="G467" t="s">
        <v>1397</v>
      </c>
      <c r="H467" t="s">
        <v>48</v>
      </c>
      <c r="I467" t="s">
        <v>1398</v>
      </c>
      <c r="J467" t="s">
        <v>50</v>
      </c>
      <c r="K467">
        <v>5.0999999999999996</v>
      </c>
      <c r="L467">
        <v>3.6</v>
      </c>
      <c r="M467">
        <v>3.6</v>
      </c>
      <c r="N467">
        <v>1467</v>
      </c>
      <c r="O467">
        <v>5995</v>
      </c>
      <c r="P467">
        <v>3.6</v>
      </c>
      <c r="Q467">
        <v>68</v>
      </c>
      <c r="R467">
        <v>28.4</v>
      </c>
      <c r="S467">
        <v>3.13</v>
      </c>
      <c r="T467" t="s">
        <v>96</v>
      </c>
      <c r="U467">
        <v>7060</v>
      </c>
      <c r="V467">
        <v>24</v>
      </c>
      <c r="W467">
        <v>25</v>
      </c>
      <c r="X467">
        <v>810</v>
      </c>
      <c r="Y467">
        <v>10.3</v>
      </c>
      <c r="Z467" t="s">
        <v>358</v>
      </c>
      <c r="AA467">
        <v>67</v>
      </c>
      <c r="AB467">
        <v>33</v>
      </c>
      <c r="AC467" t="s">
        <v>53</v>
      </c>
      <c r="AD467">
        <v>4632</v>
      </c>
      <c r="AE467">
        <v>2222</v>
      </c>
      <c r="AF467">
        <v>1262.8499999999999</v>
      </c>
      <c r="AG467">
        <v>3</v>
      </c>
      <c r="AH467">
        <v>1054</v>
      </c>
      <c r="AI467">
        <v>26.376166666666659</v>
      </c>
      <c r="AJ467">
        <v>14.92</v>
      </c>
      <c r="AK467">
        <v>15.66</v>
      </c>
      <c r="AL467">
        <v>19.95</v>
      </c>
      <c r="AM467">
        <v>851</v>
      </c>
      <c r="AN467">
        <v>39.31</v>
      </c>
      <c r="AO467">
        <v>13.52</v>
      </c>
      <c r="AP467">
        <v>10.3</v>
      </c>
      <c r="AQ467">
        <v>24</v>
      </c>
    </row>
    <row r="468" spans="1:43" x14ac:dyDescent="0.3">
      <c r="A468">
        <v>467</v>
      </c>
      <c r="B468" t="s">
        <v>1399</v>
      </c>
      <c r="C468">
        <v>2024</v>
      </c>
      <c r="D468" t="s">
        <v>1376</v>
      </c>
      <c r="E468">
        <v>29</v>
      </c>
      <c r="F468" t="s">
        <v>1139</v>
      </c>
      <c r="G468" t="s">
        <v>286</v>
      </c>
      <c r="H468" t="s">
        <v>48</v>
      </c>
      <c r="I468" t="s">
        <v>1400</v>
      </c>
      <c r="J468" t="s">
        <v>50</v>
      </c>
      <c r="K468">
        <v>7.6</v>
      </c>
      <c r="L468">
        <v>3.6</v>
      </c>
      <c r="M468">
        <v>1.8</v>
      </c>
      <c r="N468">
        <v>3278</v>
      </c>
      <c r="O468">
        <v>3243</v>
      </c>
      <c r="P468">
        <v>1.8</v>
      </c>
      <c r="Q468">
        <v>59</v>
      </c>
      <c r="R468">
        <v>5.2</v>
      </c>
      <c r="S468">
        <v>2.39</v>
      </c>
      <c r="T468" t="s">
        <v>58</v>
      </c>
      <c r="U468">
        <v>19181</v>
      </c>
      <c r="V468">
        <v>11</v>
      </c>
      <c r="W468">
        <v>15</v>
      </c>
      <c r="X468">
        <v>2.6309999999999998</v>
      </c>
      <c r="Y468">
        <v>11.3</v>
      </c>
      <c r="Z468" t="s">
        <v>87</v>
      </c>
      <c r="AA468">
        <v>57</v>
      </c>
      <c r="AB468">
        <v>43</v>
      </c>
      <c r="AC468" t="s">
        <v>53</v>
      </c>
      <c r="AD468">
        <v>13322</v>
      </c>
      <c r="AE468">
        <v>5419</v>
      </c>
      <c r="AF468">
        <v>1470.93</v>
      </c>
      <c r="AG468">
        <v>24</v>
      </c>
      <c r="AH468">
        <v>95</v>
      </c>
      <c r="AI468">
        <v>29.87127083333333</v>
      </c>
      <c r="AJ468">
        <v>18.23</v>
      </c>
      <c r="AK468">
        <v>14.05</v>
      </c>
      <c r="AL468">
        <v>16.72</v>
      </c>
      <c r="AM468">
        <v>851</v>
      </c>
      <c r="AN468">
        <v>39.31</v>
      </c>
      <c r="AO468">
        <v>3.16</v>
      </c>
      <c r="AP468">
        <v>11.3</v>
      </c>
      <c r="AQ468">
        <v>11</v>
      </c>
    </row>
    <row r="469" spans="1:43" x14ac:dyDescent="0.3">
      <c r="A469">
        <v>468</v>
      </c>
      <c r="B469" t="s">
        <v>1401</v>
      </c>
      <c r="C469">
        <v>2024</v>
      </c>
      <c r="D469" t="s">
        <v>1376</v>
      </c>
      <c r="E469">
        <v>13</v>
      </c>
      <c r="F469" t="s">
        <v>1139</v>
      </c>
      <c r="G469" t="s">
        <v>484</v>
      </c>
      <c r="H469" t="s">
        <v>48</v>
      </c>
      <c r="I469" t="s">
        <v>485</v>
      </c>
      <c r="J469" t="s">
        <v>50</v>
      </c>
      <c r="K469">
        <v>12.1</v>
      </c>
      <c r="L469">
        <v>12.4</v>
      </c>
      <c r="M469">
        <v>3.1</v>
      </c>
      <c r="N469">
        <v>5853</v>
      </c>
      <c r="O469">
        <v>52668</v>
      </c>
      <c r="P469">
        <v>3.1</v>
      </c>
      <c r="Q469">
        <v>195</v>
      </c>
      <c r="R469">
        <v>32.1</v>
      </c>
      <c r="S469">
        <v>3.71</v>
      </c>
      <c r="T469" t="s">
        <v>58</v>
      </c>
      <c r="U469">
        <v>20801</v>
      </c>
      <c r="V469">
        <v>18</v>
      </c>
      <c r="W469">
        <v>22</v>
      </c>
      <c r="X469">
        <v>1.4450000000000001</v>
      </c>
      <c r="Y469">
        <v>18.7</v>
      </c>
      <c r="Z469" t="s">
        <v>197</v>
      </c>
      <c r="AA469">
        <v>43</v>
      </c>
      <c r="AB469">
        <v>57</v>
      </c>
      <c r="AC469" t="s">
        <v>53</v>
      </c>
      <c r="AD469">
        <v>11090</v>
      </c>
      <c r="AE469">
        <v>8274</v>
      </c>
      <c r="AF469">
        <v>440</v>
      </c>
      <c r="AG469">
        <v>7</v>
      </c>
      <c r="AH469">
        <v>231</v>
      </c>
      <c r="AI469">
        <v>47.207928571428567</v>
      </c>
      <c r="AJ469">
        <v>44.34</v>
      </c>
      <c r="AK469">
        <v>40.61</v>
      </c>
      <c r="AL469">
        <v>28.35</v>
      </c>
      <c r="AM469">
        <v>851</v>
      </c>
      <c r="AN469">
        <v>39.31</v>
      </c>
      <c r="AO469">
        <v>14.7</v>
      </c>
      <c r="AP469">
        <v>18.7</v>
      </c>
      <c r="AQ469">
        <v>18</v>
      </c>
    </row>
    <row r="470" spans="1:43" x14ac:dyDescent="0.3">
      <c r="A470">
        <v>469</v>
      </c>
      <c r="B470" t="s">
        <v>1402</v>
      </c>
      <c r="C470">
        <v>2024</v>
      </c>
      <c r="D470" t="s">
        <v>1376</v>
      </c>
      <c r="E470">
        <v>75</v>
      </c>
      <c r="F470" t="s">
        <v>1139</v>
      </c>
      <c r="G470" t="s">
        <v>150</v>
      </c>
      <c r="H470" t="s">
        <v>48</v>
      </c>
      <c r="I470" t="s">
        <v>1403</v>
      </c>
      <c r="J470" t="s">
        <v>50</v>
      </c>
      <c r="K470">
        <v>13.6</v>
      </c>
      <c r="L470">
        <v>13.8</v>
      </c>
      <c r="M470">
        <v>7.4</v>
      </c>
      <c r="N470">
        <v>3263</v>
      </c>
      <c r="O470">
        <v>46302</v>
      </c>
      <c r="P470">
        <v>7.4</v>
      </c>
      <c r="Q470">
        <v>234</v>
      </c>
      <c r="R470">
        <v>50.8</v>
      </c>
      <c r="S470">
        <v>2.5099999999999998</v>
      </c>
      <c r="T470" t="s">
        <v>96</v>
      </c>
      <c r="U470">
        <v>19477</v>
      </c>
      <c r="V470">
        <v>15</v>
      </c>
      <c r="W470">
        <v>15</v>
      </c>
      <c r="X470">
        <v>2.137</v>
      </c>
      <c r="Y470">
        <v>56</v>
      </c>
      <c r="Z470" t="s">
        <v>59</v>
      </c>
      <c r="AA470">
        <v>50</v>
      </c>
      <c r="AB470">
        <v>50</v>
      </c>
      <c r="AC470" t="s">
        <v>53</v>
      </c>
      <c r="AD470">
        <v>11609</v>
      </c>
      <c r="AE470">
        <v>4696</v>
      </c>
      <c r="AF470">
        <v>409.72</v>
      </c>
      <c r="AG470">
        <v>9</v>
      </c>
      <c r="AH470">
        <v>31</v>
      </c>
      <c r="AI470">
        <v>59.471888888888877</v>
      </c>
      <c r="AJ470">
        <v>45.16</v>
      </c>
      <c r="AK470">
        <v>47.76</v>
      </c>
      <c r="AL470">
        <v>22.4</v>
      </c>
      <c r="AM470">
        <v>851</v>
      </c>
      <c r="AN470">
        <v>39.31</v>
      </c>
      <c r="AO470">
        <v>24.76</v>
      </c>
      <c r="AP470">
        <v>56</v>
      </c>
      <c r="AQ470">
        <v>15</v>
      </c>
    </row>
    <row r="471" spans="1:43" x14ac:dyDescent="0.3">
      <c r="A471">
        <v>470</v>
      </c>
      <c r="B471" t="s">
        <v>1404</v>
      </c>
      <c r="C471">
        <v>2024</v>
      </c>
      <c r="D471" t="s">
        <v>1376</v>
      </c>
      <c r="E471">
        <v>3</v>
      </c>
      <c r="F471" t="s">
        <v>1139</v>
      </c>
      <c r="G471" t="s">
        <v>1405</v>
      </c>
      <c r="H471" t="s">
        <v>48</v>
      </c>
      <c r="I471" t="s">
        <v>1406</v>
      </c>
      <c r="J471" t="s">
        <v>50</v>
      </c>
      <c r="K471">
        <v>15.5</v>
      </c>
      <c r="L471">
        <v>13.8</v>
      </c>
      <c r="M471">
        <v>4.2</v>
      </c>
      <c r="N471">
        <v>8259</v>
      </c>
      <c r="O471">
        <v>673</v>
      </c>
      <c r="P471">
        <v>4.2</v>
      </c>
      <c r="Q471">
        <v>134</v>
      </c>
      <c r="R471">
        <v>674</v>
      </c>
      <c r="S471">
        <v>0.3412778904665314</v>
      </c>
      <c r="T471" t="s">
        <v>96</v>
      </c>
      <c r="U471">
        <v>32362</v>
      </c>
      <c r="V471">
        <v>2</v>
      </c>
      <c r="W471">
        <v>2</v>
      </c>
      <c r="X471">
        <v>1972</v>
      </c>
      <c r="Y471">
        <v>33.299999999999997</v>
      </c>
      <c r="Z471" t="s">
        <v>1115</v>
      </c>
      <c r="AA471">
        <v>70</v>
      </c>
      <c r="AB471">
        <v>30</v>
      </c>
      <c r="AC471" t="s">
        <v>53</v>
      </c>
      <c r="AD471">
        <v>20104</v>
      </c>
      <c r="AE471">
        <v>11023</v>
      </c>
      <c r="AF471">
        <v>1450.67</v>
      </c>
      <c r="AG471">
        <v>6</v>
      </c>
      <c r="AH471">
        <v>1139</v>
      </c>
      <c r="AI471">
        <v>23.058583333333331</v>
      </c>
      <c r="AJ471">
        <v>20.260000000000002</v>
      </c>
      <c r="AK471">
        <v>20.5</v>
      </c>
      <c r="AL471">
        <v>13.13</v>
      </c>
      <c r="AM471">
        <v>851</v>
      </c>
      <c r="AN471">
        <v>39.31</v>
      </c>
      <c r="AO471">
        <v>272.12</v>
      </c>
      <c r="AP471">
        <v>33.299999999999997</v>
      </c>
      <c r="AQ471">
        <v>2</v>
      </c>
    </row>
    <row r="472" spans="1:43" x14ac:dyDescent="0.3">
      <c r="A472">
        <v>471</v>
      </c>
      <c r="B472" t="s">
        <v>1407</v>
      </c>
      <c r="C472">
        <v>2024</v>
      </c>
      <c r="D472" t="s">
        <v>1376</v>
      </c>
      <c r="E472">
        <v>101</v>
      </c>
      <c r="F472" t="s">
        <v>1139</v>
      </c>
      <c r="G472" t="s">
        <v>47</v>
      </c>
      <c r="H472" t="s">
        <v>48</v>
      </c>
      <c r="I472" t="s">
        <v>76</v>
      </c>
      <c r="J472" t="s">
        <v>50</v>
      </c>
      <c r="K472">
        <v>3.6</v>
      </c>
      <c r="L472">
        <v>3.5</v>
      </c>
      <c r="M472">
        <v>6.7</v>
      </c>
      <c r="N472">
        <v>7499</v>
      </c>
      <c r="O472">
        <v>14753</v>
      </c>
      <c r="P472">
        <v>6.7</v>
      </c>
      <c r="Q472">
        <v>129</v>
      </c>
      <c r="R472">
        <v>6.7</v>
      </c>
      <c r="S472">
        <v>3.78</v>
      </c>
      <c r="T472" t="s">
        <v>71</v>
      </c>
      <c r="U472">
        <v>14480</v>
      </c>
      <c r="V472">
        <v>52</v>
      </c>
      <c r="W472">
        <v>57</v>
      </c>
      <c r="X472">
        <v>582</v>
      </c>
      <c r="Y472">
        <v>26.1</v>
      </c>
      <c r="Z472" t="s">
        <v>116</v>
      </c>
      <c r="AA472">
        <v>49</v>
      </c>
      <c r="AB472">
        <v>51</v>
      </c>
      <c r="AC472" t="s">
        <v>53</v>
      </c>
      <c r="AD472">
        <v>8678</v>
      </c>
      <c r="AE472">
        <v>9457</v>
      </c>
      <c r="AF472">
        <v>614.48</v>
      </c>
      <c r="AG472">
        <v>69</v>
      </c>
      <c r="AH472">
        <v>1</v>
      </c>
      <c r="AI472">
        <v>50.817340579710141</v>
      </c>
      <c r="AJ472">
        <v>35.82</v>
      </c>
      <c r="AK472">
        <v>38.92</v>
      </c>
      <c r="AL472">
        <v>35.29</v>
      </c>
      <c r="AM472">
        <v>851</v>
      </c>
      <c r="AN472">
        <v>39.31</v>
      </c>
      <c r="AO472">
        <v>6.7</v>
      </c>
      <c r="AP472">
        <v>26.1</v>
      </c>
      <c r="AQ472">
        <v>52</v>
      </c>
    </row>
    <row r="473" spans="1:43" x14ac:dyDescent="0.3">
      <c r="A473">
        <v>472</v>
      </c>
      <c r="B473" t="s">
        <v>1408</v>
      </c>
      <c r="C473">
        <v>2024</v>
      </c>
      <c r="D473" t="s">
        <v>1376</v>
      </c>
      <c r="E473">
        <v>54</v>
      </c>
      <c r="F473" t="s">
        <v>1139</v>
      </c>
      <c r="G473" t="s">
        <v>47</v>
      </c>
      <c r="H473" t="s">
        <v>48</v>
      </c>
      <c r="I473" t="s">
        <v>1409</v>
      </c>
      <c r="J473" t="s">
        <v>50</v>
      </c>
      <c r="K473">
        <v>4.7</v>
      </c>
      <c r="L473">
        <v>4.8</v>
      </c>
      <c r="M473">
        <v>5.6</v>
      </c>
      <c r="N473">
        <v>8865</v>
      </c>
      <c r="O473">
        <v>541</v>
      </c>
      <c r="P473">
        <v>5.6</v>
      </c>
      <c r="Q473">
        <v>116</v>
      </c>
      <c r="R473">
        <v>1001</v>
      </c>
      <c r="S473">
        <v>438.41166936790933</v>
      </c>
      <c r="T473" t="s">
        <v>58</v>
      </c>
      <c r="U473">
        <v>20480</v>
      </c>
      <c r="V473">
        <v>40</v>
      </c>
      <c r="W473">
        <v>61</v>
      </c>
      <c r="X473">
        <v>1.234</v>
      </c>
      <c r="Y473">
        <v>16.3</v>
      </c>
      <c r="Z473" t="s">
        <v>185</v>
      </c>
      <c r="AA473">
        <v>47</v>
      </c>
      <c r="AB473">
        <v>53</v>
      </c>
      <c r="AC473" t="s">
        <v>53</v>
      </c>
      <c r="AD473">
        <v>17216</v>
      </c>
      <c r="AE473">
        <v>10069</v>
      </c>
      <c r="AF473">
        <v>614.48</v>
      </c>
      <c r="AG473">
        <v>69</v>
      </c>
      <c r="AH473">
        <v>1</v>
      </c>
      <c r="AI473">
        <v>50.817340579710141</v>
      </c>
      <c r="AJ473">
        <v>35.82</v>
      </c>
      <c r="AK473">
        <v>38.92</v>
      </c>
      <c r="AL473">
        <v>35.29</v>
      </c>
      <c r="AM473">
        <v>851</v>
      </c>
      <c r="AN473">
        <v>39.31</v>
      </c>
      <c r="AO473">
        <v>403.76</v>
      </c>
      <c r="AP473">
        <v>16.3</v>
      </c>
      <c r="AQ473">
        <v>40</v>
      </c>
    </row>
    <row r="474" spans="1:43" x14ac:dyDescent="0.3">
      <c r="A474">
        <v>473</v>
      </c>
      <c r="B474" t="s">
        <v>1410</v>
      </c>
      <c r="C474">
        <v>2024</v>
      </c>
      <c r="D474" t="s">
        <v>1376</v>
      </c>
      <c r="E474">
        <v>80</v>
      </c>
      <c r="F474" t="s">
        <v>1139</v>
      </c>
      <c r="G474" t="s">
        <v>47</v>
      </c>
      <c r="H474" t="s">
        <v>48</v>
      </c>
      <c r="I474" t="s">
        <v>1411</v>
      </c>
      <c r="J474" t="s">
        <v>50</v>
      </c>
      <c r="K474">
        <v>6.1</v>
      </c>
      <c r="L474">
        <v>5.0999999999999996</v>
      </c>
      <c r="M474">
        <v>11.3</v>
      </c>
      <c r="N474">
        <v>3871</v>
      </c>
      <c r="O474">
        <v>13654</v>
      </c>
      <c r="P474">
        <v>11.3</v>
      </c>
      <c r="Q474">
        <v>125</v>
      </c>
      <c r="R474">
        <v>11.3</v>
      </c>
      <c r="S474">
        <v>3.43</v>
      </c>
      <c r="T474" t="s">
        <v>58</v>
      </c>
      <c r="U474">
        <v>15020</v>
      </c>
      <c r="V474">
        <v>13</v>
      </c>
      <c r="W474">
        <v>24</v>
      </c>
      <c r="X474">
        <v>959</v>
      </c>
      <c r="Y474">
        <v>16.100000000000001</v>
      </c>
      <c r="Z474" t="s">
        <v>146</v>
      </c>
      <c r="AA474">
        <v>58</v>
      </c>
      <c r="AB474">
        <v>42</v>
      </c>
      <c r="AC474" t="s">
        <v>53</v>
      </c>
      <c r="AD474">
        <v>8630</v>
      </c>
      <c r="AE474">
        <v>7015</v>
      </c>
      <c r="AF474">
        <v>614.48</v>
      </c>
      <c r="AG474">
        <v>69</v>
      </c>
      <c r="AH474">
        <v>1</v>
      </c>
      <c r="AI474">
        <v>50.817340579710141</v>
      </c>
      <c r="AJ474">
        <v>35.82</v>
      </c>
      <c r="AK474">
        <v>38.92</v>
      </c>
      <c r="AL474">
        <v>35.29</v>
      </c>
      <c r="AM474">
        <v>851</v>
      </c>
      <c r="AN474">
        <v>39.31</v>
      </c>
      <c r="AO474">
        <v>11.3</v>
      </c>
      <c r="AP474">
        <v>16.100000000000001</v>
      </c>
      <c r="AQ474">
        <v>13</v>
      </c>
    </row>
    <row r="475" spans="1:43" x14ac:dyDescent="0.3">
      <c r="A475">
        <v>474</v>
      </c>
      <c r="B475" t="s">
        <v>1412</v>
      </c>
      <c r="C475">
        <v>2024</v>
      </c>
      <c r="D475" t="s">
        <v>1376</v>
      </c>
      <c r="E475">
        <v>1</v>
      </c>
      <c r="F475" t="s">
        <v>1139</v>
      </c>
      <c r="G475" t="s">
        <v>1413</v>
      </c>
      <c r="H475" t="s">
        <v>48</v>
      </c>
      <c r="I475" t="s">
        <v>1414</v>
      </c>
      <c r="J475" t="s">
        <v>50</v>
      </c>
      <c r="K475">
        <v>5.3</v>
      </c>
      <c r="L475">
        <v>5.2</v>
      </c>
      <c r="M475">
        <v>6.5</v>
      </c>
      <c r="N475">
        <v>2871</v>
      </c>
      <c r="O475">
        <v>4592</v>
      </c>
      <c r="P475">
        <v>6.5</v>
      </c>
      <c r="Q475">
        <v>53</v>
      </c>
      <c r="R475">
        <v>9.6999999999999993</v>
      </c>
      <c r="S475">
        <v>4.01</v>
      </c>
      <c r="T475" t="s">
        <v>58</v>
      </c>
      <c r="U475">
        <v>10056</v>
      </c>
      <c r="V475">
        <v>14</v>
      </c>
      <c r="W475">
        <v>18</v>
      </c>
      <c r="X475">
        <v>900</v>
      </c>
      <c r="Y475">
        <v>12.3</v>
      </c>
      <c r="Z475" t="s">
        <v>82</v>
      </c>
      <c r="AA475">
        <v>61</v>
      </c>
      <c r="AB475">
        <v>39</v>
      </c>
      <c r="AC475" t="s">
        <v>53</v>
      </c>
      <c r="AD475">
        <v>6680</v>
      </c>
      <c r="AE475">
        <v>2970</v>
      </c>
      <c r="AF475">
        <v>745.5</v>
      </c>
      <c r="AG475">
        <v>1</v>
      </c>
      <c r="AH475">
        <v>919</v>
      </c>
      <c r="AI475">
        <v>34.636000000000003</v>
      </c>
      <c r="AJ475">
        <v>9.3000000000000007</v>
      </c>
      <c r="AK475">
        <v>10.1</v>
      </c>
      <c r="AL475">
        <v>18</v>
      </c>
      <c r="AM475">
        <v>851</v>
      </c>
      <c r="AN475">
        <v>39.31</v>
      </c>
      <c r="AO475">
        <v>7.78</v>
      </c>
      <c r="AP475">
        <v>12.3</v>
      </c>
      <c r="AQ475">
        <v>14</v>
      </c>
    </row>
    <row r="476" spans="1:43" x14ac:dyDescent="0.3">
      <c r="A476">
        <v>475</v>
      </c>
      <c r="B476" t="s">
        <v>1415</v>
      </c>
      <c r="C476">
        <v>2024</v>
      </c>
      <c r="D476" t="s">
        <v>1376</v>
      </c>
      <c r="E476">
        <v>2</v>
      </c>
      <c r="F476" t="s">
        <v>1139</v>
      </c>
      <c r="G476" t="s">
        <v>1161</v>
      </c>
      <c r="H476" t="s">
        <v>48</v>
      </c>
      <c r="I476" t="s">
        <v>1416</v>
      </c>
      <c r="J476" t="s">
        <v>50</v>
      </c>
      <c r="K476">
        <v>7</v>
      </c>
      <c r="L476">
        <v>6.7</v>
      </c>
      <c r="M476">
        <v>6.7</v>
      </c>
      <c r="N476">
        <v>8044</v>
      </c>
      <c r="O476">
        <v>898</v>
      </c>
      <c r="P476">
        <v>6.7</v>
      </c>
      <c r="Q476">
        <v>135</v>
      </c>
      <c r="R476">
        <v>871</v>
      </c>
      <c r="S476">
        <v>719.5512820512821</v>
      </c>
      <c r="T476" t="s">
        <v>77</v>
      </c>
      <c r="U476">
        <v>12919</v>
      </c>
      <c r="V476">
        <v>11</v>
      </c>
      <c r="W476">
        <v>14</v>
      </c>
      <c r="X476">
        <v>1.248</v>
      </c>
      <c r="Y476">
        <v>14.4</v>
      </c>
      <c r="Z476" t="s">
        <v>87</v>
      </c>
      <c r="AA476">
        <v>55</v>
      </c>
      <c r="AB476">
        <v>45</v>
      </c>
      <c r="AC476" t="s">
        <v>53</v>
      </c>
      <c r="AD476">
        <v>7595</v>
      </c>
      <c r="AE476">
        <v>5487</v>
      </c>
      <c r="AF476">
        <v>920.75</v>
      </c>
      <c r="AG476">
        <v>3</v>
      </c>
      <c r="AH476">
        <v>884</v>
      </c>
      <c r="AI476">
        <v>28.492166666666659</v>
      </c>
      <c r="AJ476">
        <v>20.04</v>
      </c>
      <c r="AK476">
        <v>16.91</v>
      </c>
      <c r="AL476">
        <v>26.75</v>
      </c>
      <c r="AM476">
        <v>851</v>
      </c>
      <c r="AN476">
        <v>39.31</v>
      </c>
      <c r="AO476">
        <v>352.42</v>
      </c>
      <c r="AP476">
        <v>14.4</v>
      </c>
      <c r="AQ476">
        <v>11</v>
      </c>
    </row>
    <row r="477" spans="1:43" x14ac:dyDescent="0.3">
      <c r="A477">
        <v>476</v>
      </c>
      <c r="B477" t="s">
        <v>1417</v>
      </c>
      <c r="C477">
        <v>2024</v>
      </c>
      <c r="D477" t="s">
        <v>1376</v>
      </c>
      <c r="E477">
        <v>26</v>
      </c>
      <c r="F477" t="s">
        <v>1139</v>
      </c>
      <c r="G477" t="s">
        <v>384</v>
      </c>
      <c r="H477" t="s">
        <v>48</v>
      </c>
      <c r="I477" t="s">
        <v>1418</v>
      </c>
      <c r="J477" t="s">
        <v>50</v>
      </c>
      <c r="K477">
        <v>10.9</v>
      </c>
      <c r="L477">
        <v>2.4</v>
      </c>
      <c r="M477">
        <v>27.5</v>
      </c>
      <c r="N477">
        <v>11066</v>
      </c>
      <c r="O477">
        <v>460</v>
      </c>
      <c r="P477">
        <v>27.5</v>
      </c>
      <c r="Q477">
        <v>374</v>
      </c>
      <c r="R477">
        <v>438</v>
      </c>
      <c r="S477">
        <v>320.78103207810318</v>
      </c>
      <c r="T477" t="s">
        <v>96</v>
      </c>
      <c r="U477">
        <v>33972</v>
      </c>
      <c r="V477">
        <v>1</v>
      </c>
      <c r="W477">
        <v>2</v>
      </c>
      <c r="X477">
        <v>1.4339999999999999</v>
      </c>
      <c r="Y477">
        <v>22</v>
      </c>
      <c r="Z477" t="s">
        <v>82</v>
      </c>
      <c r="AA477">
        <v>58</v>
      </c>
      <c r="AB477">
        <v>42</v>
      </c>
      <c r="AC477" t="s">
        <v>53</v>
      </c>
      <c r="AD477">
        <v>18629</v>
      </c>
      <c r="AE477">
        <v>10008</v>
      </c>
      <c r="AF477">
        <v>644.77</v>
      </c>
      <c r="AG477">
        <v>18</v>
      </c>
      <c r="AH477">
        <v>181</v>
      </c>
      <c r="AI477">
        <v>47.393000000000001</v>
      </c>
      <c r="AJ477">
        <v>35.17</v>
      </c>
      <c r="AK477">
        <v>47.49</v>
      </c>
      <c r="AL477">
        <v>13.04</v>
      </c>
      <c r="AM477">
        <v>851</v>
      </c>
      <c r="AN477">
        <v>39.31</v>
      </c>
      <c r="AO477">
        <v>191.7</v>
      </c>
      <c r="AP477">
        <v>22</v>
      </c>
      <c r="AQ477">
        <v>1</v>
      </c>
    </row>
    <row r="478" spans="1:43" x14ac:dyDescent="0.3">
      <c r="A478">
        <v>477</v>
      </c>
      <c r="B478" t="s">
        <v>1419</v>
      </c>
      <c r="C478">
        <v>2024</v>
      </c>
      <c r="D478" t="s">
        <v>1376</v>
      </c>
      <c r="E478">
        <v>24</v>
      </c>
      <c r="F478" t="s">
        <v>1139</v>
      </c>
      <c r="G478" t="s">
        <v>384</v>
      </c>
      <c r="H478" t="s">
        <v>48</v>
      </c>
      <c r="I478" t="s">
        <v>1420</v>
      </c>
      <c r="J478" t="s">
        <v>50</v>
      </c>
      <c r="K478">
        <v>9.4</v>
      </c>
      <c r="L478">
        <v>2.7</v>
      </c>
      <c r="M478">
        <v>34.6</v>
      </c>
      <c r="N478">
        <v>19638</v>
      </c>
      <c r="O478">
        <v>327</v>
      </c>
      <c r="P478">
        <v>34.6</v>
      </c>
      <c r="Q478">
        <v>249</v>
      </c>
      <c r="R478">
        <v>516</v>
      </c>
      <c r="S478">
        <v>0.32472691161866929</v>
      </c>
      <c r="T478" t="s">
        <v>51</v>
      </c>
      <c r="U478">
        <v>29840</v>
      </c>
      <c r="V478">
        <v>6</v>
      </c>
      <c r="W478">
        <v>9</v>
      </c>
      <c r="X478">
        <v>1007</v>
      </c>
      <c r="Y478">
        <v>33.4</v>
      </c>
      <c r="Z478" t="s">
        <v>110</v>
      </c>
      <c r="AA478">
        <v>59</v>
      </c>
      <c r="AB478">
        <v>41</v>
      </c>
      <c r="AC478" t="s">
        <v>53</v>
      </c>
      <c r="AD478">
        <v>22599</v>
      </c>
      <c r="AE478">
        <v>9025</v>
      </c>
      <c r="AF478">
        <v>644.77</v>
      </c>
      <c r="AG478">
        <v>18</v>
      </c>
      <c r="AH478">
        <v>181</v>
      </c>
      <c r="AI478">
        <v>47.393000000000001</v>
      </c>
      <c r="AJ478">
        <v>35.17</v>
      </c>
      <c r="AK478">
        <v>47.49</v>
      </c>
      <c r="AL478">
        <v>13.04</v>
      </c>
      <c r="AM478">
        <v>851</v>
      </c>
      <c r="AN478">
        <v>39.31</v>
      </c>
      <c r="AO478">
        <v>227.16</v>
      </c>
      <c r="AP478">
        <v>33.4</v>
      </c>
      <c r="AQ478">
        <v>6</v>
      </c>
    </row>
    <row r="479" spans="1:43" x14ac:dyDescent="0.3">
      <c r="A479">
        <v>478</v>
      </c>
      <c r="B479" t="s">
        <v>1421</v>
      </c>
      <c r="C479">
        <v>2024</v>
      </c>
      <c r="D479" t="s">
        <v>1376</v>
      </c>
      <c r="E479">
        <v>91</v>
      </c>
      <c r="F479" t="s">
        <v>1139</v>
      </c>
      <c r="G479" t="s">
        <v>47</v>
      </c>
      <c r="H479" t="s">
        <v>48</v>
      </c>
      <c r="I479" t="s">
        <v>1422</v>
      </c>
      <c r="J479" t="s">
        <v>50</v>
      </c>
      <c r="K479">
        <v>7.4</v>
      </c>
      <c r="L479">
        <v>4</v>
      </c>
      <c r="M479">
        <v>7.8</v>
      </c>
      <c r="N479">
        <v>5791</v>
      </c>
      <c r="O479">
        <v>14550</v>
      </c>
      <c r="P479">
        <v>7.8</v>
      </c>
      <c r="Q479">
        <v>111</v>
      </c>
      <c r="R479">
        <v>11.4</v>
      </c>
      <c r="S479">
        <v>3.39</v>
      </c>
      <c r="T479" t="s">
        <v>58</v>
      </c>
      <c r="U479">
        <v>20010</v>
      </c>
      <c r="V479">
        <v>23</v>
      </c>
      <c r="W479">
        <v>30</v>
      </c>
      <c r="X479">
        <v>1124</v>
      </c>
      <c r="Y479">
        <v>20.3</v>
      </c>
      <c r="Z479" t="s">
        <v>146</v>
      </c>
      <c r="AA479">
        <v>56</v>
      </c>
      <c r="AB479">
        <v>44</v>
      </c>
      <c r="AC479" t="s">
        <v>53</v>
      </c>
      <c r="AD479">
        <v>17315</v>
      </c>
      <c r="AE479">
        <v>5160</v>
      </c>
      <c r="AF479">
        <v>614.48</v>
      </c>
      <c r="AG479">
        <v>69</v>
      </c>
      <c r="AH479">
        <v>1</v>
      </c>
      <c r="AI479">
        <v>50.817340579710141</v>
      </c>
      <c r="AJ479">
        <v>35.82</v>
      </c>
      <c r="AK479">
        <v>38.92</v>
      </c>
      <c r="AL479">
        <v>35.29</v>
      </c>
      <c r="AM479">
        <v>851</v>
      </c>
      <c r="AN479">
        <v>39.31</v>
      </c>
      <c r="AO479">
        <v>9.24</v>
      </c>
      <c r="AP479">
        <v>20.3</v>
      </c>
      <c r="AQ479">
        <v>23</v>
      </c>
    </row>
    <row r="480" spans="1:43" x14ac:dyDescent="0.3">
      <c r="A480">
        <v>479</v>
      </c>
      <c r="B480" t="s">
        <v>1423</v>
      </c>
      <c r="C480">
        <v>2024</v>
      </c>
      <c r="D480" t="s">
        <v>1376</v>
      </c>
      <c r="E480">
        <v>9</v>
      </c>
      <c r="F480" t="s">
        <v>1139</v>
      </c>
      <c r="G480" t="s">
        <v>492</v>
      </c>
      <c r="H480" t="s">
        <v>493</v>
      </c>
      <c r="I480" t="s">
        <v>492</v>
      </c>
      <c r="J480" t="s">
        <v>50</v>
      </c>
      <c r="K480">
        <v>9.6</v>
      </c>
      <c r="L480">
        <v>4.9000000000000004</v>
      </c>
      <c r="M480">
        <v>8.8000000000000007</v>
      </c>
      <c r="N480">
        <v>77277</v>
      </c>
      <c r="O480">
        <v>272275</v>
      </c>
      <c r="P480">
        <v>8.8000000000000007</v>
      </c>
      <c r="Q480">
        <v>501</v>
      </c>
      <c r="R480">
        <v>12.8</v>
      </c>
      <c r="S480">
        <v>3.52</v>
      </c>
      <c r="T480" t="s">
        <v>51</v>
      </c>
      <c r="U480">
        <v>198816</v>
      </c>
      <c r="V480">
        <v>3</v>
      </c>
      <c r="W480">
        <v>2</v>
      </c>
      <c r="X480">
        <v>21967</v>
      </c>
      <c r="Y480">
        <v>114.2</v>
      </c>
      <c r="Z480" t="s">
        <v>727</v>
      </c>
      <c r="AA480">
        <v>75</v>
      </c>
      <c r="AB480">
        <v>25</v>
      </c>
      <c r="AC480" t="s">
        <v>53</v>
      </c>
      <c r="AD480">
        <v>142948</v>
      </c>
      <c r="AE480">
        <v>65006</v>
      </c>
      <c r="AF480">
        <v>773.03</v>
      </c>
      <c r="AG480">
        <v>8</v>
      </c>
      <c r="AH480">
        <v>167</v>
      </c>
      <c r="AI480">
        <v>43.070812500000002</v>
      </c>
      <c r="AJ480">
        <v>26.92</v>
      </c>
      <c r="AK480">
        <v>35.4</v>
      </c>
      <c r="AL480">
        <v>8.7799999999999994</v>
      </c>
      <c r="AM480">
        <v>851</v>
      </c>
      <c r="AN480">
        <v>39.31</v>
      </c>
      <c r="AO480">
        <v>10.4</v>
      </c>
      <c r="AP480">
        <v>114.2</v>
      </c>
      <c r="AQ480">
        <v>3</v>
      </c>
    </row>
    <row r="481" spans="1:43" x14ac:dyDescent="0.3">
      <c r="A481">
        <v>480</v>
      </c>
      <c r="B481" t="s">
        <v>1424</v>
      </c>
      <c r="C481">
        <v>2024</v>
      </c>
      <c r="D481" t="s">
        <v>1376</v>
      </c>
      <c r="E481">
        <v>118</v>
      </c>
      <c r="F481" t="s">
        <v>1139</v>
      </c>
      <c r="G481" t="s">
        <v>63</v>
      </c>
      <c r="H481" t="s">
        <v>64</v>
      </c>
      <c r="I481" t="s">
        <v>1338</v>
      </c>
      <c r="J481" t="s">
        <v>65</v>
      </c>
      <c r="K481">
        <v>3.9</v>
      </c>
      <c r="L481">
        <v>5.7</v>
      </c>
      <c r="M481">
        <v>27.5</v>
      </c>
      <c r="N481">
        <v>2454</v>
      </c>
      <c r="O481">
        <v>19248</v>
      </c>
      <c r="P481">
        <v>27.5</v>
      </c>
      <c r="Q481">
        <v>135</v>
      </c>
      <c r="R481">
        <v>22.2</v>
      </c>
      <c r="S481">
        <v>5.25</v>
      </c>
      <c r="T481" t="s">
        <v>77</v>
      </c>
      <c r="U481">
        <v>5834</v>
      </c>
      <c r="V481">
        <v>14</v>
      </c>
      <c r="W481">
        <v>14</v>
      </c>
      <c r="X481">
        <v>432</v>
      </c>
      <c r="Y481">
        <v>13</v>
      </c>
      <c r="Z481" t="s">
        <v>852</v>
      </c>
      <c r="AA481">
        <v>36</v>
      </c>
      <c r="AB481">
        <v>64</v>
      </c>
      <c r="AC481" t="s">
        <v>53</v>
      </c>
      <c r="AD481">
        <v>4721</v>
      </c>
      <c r="AE481">
        <v>1591</v>
      </c>
      <c r="AF481">
        <v>647.61</v>
      </c>
      <c r="AG481">
        <v>98</v>
      </c>
      <c r="AH481">
        <v>2</v>
      </c>
      <c r="AI481">
        <v>56.843244897959181</v>
      </c>
      <c r="AJ481">
        <v>29.74</v>
      </c>
      <c r="AK481">
        <v>38.11</v>
      </c>
      <c r="AL481">
        <v>19.260000000000002</v>
      </c>
      <c r="AM481">
        <v>851</v>
      </c>
      <c r="AN481">
        <v>39.31</v>
      </c>
      <c r="AO481">
        <v>25.38</v>
      </c>
      <c r="AP481">
        <v>13</v>
      </c>
      <c r="AQ481">
        <v>14</v>
      </c>
    </row>
    <row r="482" spans="1:43" x14ac:dyDescent="0.3">
      <c r="A482">
        <v>481</v>
      </c>
      <c r="B482" t="s">
        <v>1425</v>
      </c>
      <c r="C482">
        <v>2024</v>
      </c>
      <c r="D482" t="s">
        <v>1426</v>
      </c>
      <c r="E482">
        <v>12</v>
      </c>
      <c r="F482" t="s">
        <v>1139</v>
      </c>
      <c r="G482" t="s">
        <v>834</v>
      </c>
      <c r="H482" t="s">
        <v>48</v>
      </c>
      <c r="I482" t="s">
        <v>835</v>
      </c>
      <c r="J482" t="s">
        <v>50</v>
      </c>
      <c r="K482">
        <v>7.4</v>
      </c>
      <c r="L482">
        <v>33.299999999999997</v>
      </c>
      <c r="M482">
        <v>17.7</v>
      </c>
      <c r="N482">
        <v>1856</v>
      </c>
      <c r="O482">
        <v>17883</v>
      </c>
      <c r="P482">
        <v>17.7</v>
      </c>
      <c r="Q482">
        <v>173</v>
      </c>
      <c r="R482">
        <v>36.299999999999997</v>
      </c>
      <c r="S482">
        <v>3.3</v>
      </c>
      <c r="T482" t="s">
        <v>58</v>
      </c>
      <c r="U482">
        <v>10477</v>
      </c>
      <c r="V482">
        <v>5</v>
      </c>
      <c r="W482">
        <v>5</v>
      </c>
      <c r="X482">
        <v>233</v>
      </c>
      <c r="Y482">
        <v>53.7</v>
      </c>
      <c r="Z482" t="s">
        <v>408</v>
      </c>
      <c r="AA482">
        <v>46</v>
      </c>
      <c r="AB482">
        <v>54</v>
      </c>
      <c r="AC482" t="s">
        <v>53</v>
      </c>
      <c r="AD482">
        <v>7811</v>
      </c>
      <c r="AE482">
        <v>1400</v>
      </c>
      <c r="AF482">
        <v>1152.18</v>
      </c>
      <c r="AG482">
        <v>8</v>
      </c>
      <c r="AH482">
        <v>521</v>
      </c>
      <c r="AI482">
        <v>35.509249999999987</v>
      </c>
      <c r="AJ482">
        <v>26.59</v>
      </c>
      <c r="AK482">
        <v>34.58</v>
      </c>
      <c r="AL482">
        <v>5.27</v>
      </c>
      <c r="AM482">
        <v>901</v>
      </c>
      <c r="AN482">
        <v>35.74</v>
      </c>
      <c r="AO482">
        <v>25.14</v>
      </c>
      <c r="AP482">
        <v>53.7</v>
      </c>
      <c r="AQ482">
        <v>5</v>
      </c>
    </row>
    <row r="483" spans="1:43" x14ac:dyDescent="0.3">
      <c r="A483">
        <v>482</v>
      </c>
      <c r="B483" t="s">
        <v>1427</v>
      </c>
      <c r="C483">
        <v>2024</v>
      </c>
      <c r="D483" t="s">
        <v>1426</v>
      </c>
      <c r="E483">
        <v>65</v>
      </c>
      <c r="F483" t="s">
        <v>1139</v>
      </c>
      <c r="G483" t="s">
        <v>99</v>
      </c>
      <c r="H483" t="s">
        <v>100</v>
      </c>
      <c r="I483" t="s">
        <v>99</v>
      </c>
      <c r="J483" t="s">
        <v>50</v>
      </c>
      <c r="K483">
        <v>4</v>
      </c>
      <c r="L483">
        <v>1.5</v>
      </c>
      <c r="M483">
        <v>37.9</v>
      </c>
      <c r="N483">
        <v>5467</v>
      </c>
      <c r="O483">
        <v>460</v>
      </c>
      <c r="P483">
        <v>37.9</v>
      </c>
      <c r="Q483">
        <v>288</v>
      </c>
      <c r="R483">
        <v>626</v>
      </c>
      <c r="S483">
        <v>3.57</v>
      </c>
      <c r="T483" t="s">
        <v>51</v>
      </c>
      <c r="U483">
        <v>23099</v>
      </c>
      <c r="V483">
        <v>6</v>
      </c>
      <c r="W483">
        <v>7</v>
      </c>
      <c r="X483">
        <v>1530</v>
      </c>
      <c r="Y483">
        <v>14.7</v>
      </c>
      <c r="Z483" t="s">
        <v>197</v>
      </c>
      <c r="AA483">
        <v>48</v>
      </c>
      <c r="AB483">
        <v>52</v>
      </c>
      <c r="AC483" t="s">
        <v>53</v>
      </c>
      <c r="AD483">
        <v>14035</v>
      </c>
      <c r="AE483">
        <v>9485</v>
      </c>
      <c r="AF483">
        <v>616.32000000000005</v>
      </c>
      <c r="AG483">
        <v>35</v>
      </c>
      <c r="AH483">
        <v>12</v>
      </c>
      <c r="AI483">
        <v>56.538228571428569</v>
      </c>
      <c r="AJ483">
        <v>21.88</v>
      </c>
      <c r="AK483">
        <v>70.61</v>
      </c>
      <c r="AL483">
        <v>14.17</v>
      </c>
      <c r="AM483">
        <v>901</v>
      </c>
      <c r="AN483">
        <v>35.74</v>
      </c>
      <c r="AO483">
        <v>273.14</v>
      </c>
      <c r="AP483">
        <v>14.7</v>
      </c>
      <c r="AQ483">
        <v>6</v>
      </c>
    </row>
    <row r="484" spans="1:43" x14ac:dyDescent="0.3">
      <c r="A484">
        <v>483</v>
      </c>
      <c r="B484" t="s">
        <v>1428</v>
      </c>
      <c r="C484">
        <v>2024</v>
      </c>
      <c r="D484" t="s">
        <v>1426</v>
      </c>
      <c r="E484">
        <v>23</v>
      </c>
      <c r="F484" t="s">
        <v>1139</v>
      </c>
      <c r="G484" t="s">
        <v>131</v>
      </c>
      <c r="H484" t="s">
        <v>100</v>
      </c>
      <c r="I484" t="s">
        <v>1429</v>
      </c>
      <c r="J484" t="s">
        <v>50</v>
      </c>
      <c r="K484">
        <v>7.6</v>
      </c>
      <c r="L484">
        <v>3.1</v>
      </c>
      <c r="M484">
        <v>12.3</v>
      </c>
      <c r="N484">
        <v>1851</v>
      </c>
      <c r="O484">
        <v>898</v>
      </c>
      <c r="P484">
        <v>12.3</v>
      </c>
      <c r="Q484">
        <v>104</v>
      </c>
      <c r="R484">
        <v>611</v>
      </c>
      <c r="S484">
        <v>708.76085240726127</v>
      </c>
      <c r="T484" t="s">
        <v>58</v>
      </c>
      <c r="U484">
        <v>9384</v>
      </c>
      <c r="V484">
        <v>6</v>
      </c>
      <c r="W484">
        <v>6</v>
      </c>
      <c r="X484">
        <v>1.2669999999999999</v>
      </c>
      <c r="Y484">
        <v>9.8000000000000007</v>
      </c>
      <c r="Z484" t="s">
        <v>332</v>
      </c>
      <c r="AA484">
        <v>39</v>
      </c>
      <c r="AB484">
        <v>61</v>
      </c>
      <c r="AC484" t="s">
        <v>53</v>
      </c>
      <c r="AD484">
        <v>5343</v>
      </c>
      <c r="AE484">
        <v>4058</v>
      </c>
      <c r="AF484">
        <v>1349.57</v>
      </c>
      <c r="AG484">
        <v>37</v>
      </c>
      <c r="AH484">
        <v>29</v>
      </c>
      <c r="AI484">
        <v>35.237824324324329</v>
      </c>
      <c r="AJ484">
        <v>25.61</v>
      </c>
      <c r="AK484">
        <v>22.27</v>
      </c>
      <c r="AL484">
        <v>5.48</v>
      </c>
      <c r="AM484">
        <v>901</v>
      </c>
      <c r="AN484">
        <v>35.74</v>
      </c>
      <c r="AO484">
        <v>251.78</v>
      </c>
      <c r="AP484">
        <v>9.8000000000000007</v>
      </c>
      <c r="AQ484">
        <v>6</v>
      </c>
    </row>
    <row r="485" spans="1:43" x14ac:dyDescent="0.3">
      <c r="A485">
        <v>484</v>
      </c>
      <c r="B485" t="s">
        <v>1430</v>
      </c>
      <c r="C485">
        <v>2024</v>
      </c>
      <c r="D485" t="s">
        <v>1426</v>
      </c>
      <c r="E485">
        <v>9</v>
      </c>
      <c r="F485" t="s">
        <v>1139</v>
      </c>
      <c r="G485" t="s">
        <v>642</v>
      </c>
      <c r="H485" t="s">
        <v>48</v>
      </c>
      <c r="I485" t="s">
        <v>913</v>
      </c>
      <c r="J485" t="s">
        <v>50</v>
      </c>
      <c r="K485">
        <v>6.4</v>
      </c>
      <c r="L485">
        <v>8.6</v>
      </c>
      <c r="M485">
        <v>3.9</v>
      </c>
      <c r="N485">
        <v>1473</v>
      </c>
      <c r="O485">
        <v>3580</v>
      </c>
      <c r="P485">
        <v>3.9</v>
      </c>
      <c r="Q485">
        <v>55</v>
      </c>
      <c r="R485">
        <v>9</v>
      </c>
      <c r="S485">
        <v>2.4500000000000002</v>
      </c>
      <c r="T485" t="s">
        <v>71</v>
      </c>
      <c r="U485">
        <v>9019</v>
      </c>
      <c r="V485">
        <v>17</v>
      </c>
      <c r="W485">
        <v>17</v>
      </c>
      <c r="X485">
        <v>743</v>
      </c>
      <c r="Y485">
        <v>16.3</v>
      </c>
      <c r="Z485" t="s">
        <v>457</v>
      </c>
      <c r="AA485">
        <v>54</v>
      </c>
      <c r="AB485">
        <v>46</v>
      </c>
      <c r="AC485" t="s">
        <v>53</v>
      </c>
      <c r="AD485">
        <v>6188</v>
      </c>
      <c r="AE485">
        <v>2997</v>
      </c>
      <c r="AF485">
        <v>1055.02</v>
      </c>
      <c r="AG485">
        <v>11</v>
      </c>
      <c r="AH485">
        <v>459</v>
      </c>
      <c r="AI485">
        <v>29.911909090909091</v>
      </c>
      <c r="AJ485">
        <v>21.19</v>
      </c>
      <c r="AK485">
        <v>18.600000000000001</v>
      </c>
      <c r="AL485">
        <v>18.350000000000001</v>
      </c>
      <c r="AM485">
        <v>901</v>
      </c>
      <c r="AN485">
        <v>35.74</v>
      </c>
      <c r="AO485">
        <v>5.94</v>
      </c>
      <c r="AP485">
        <v>16.3</v>
      </c>
      <c r="AQ485">
        <v>17</v>
      </c>
    </row>
    <row r="486" spans="1:43" x14ac:dyDescent="0.3">
      <c r="A486">
        <v>485</v>
      </c>
      <c r="B486" t="s">
        <v>1431</v>
      </c>
      <c r="C486">
        <v>2024</v>
      </c>
      <c r="D486" t="s">
        <v>1426</v>
      </c>
      <c r="E486">
        <v>20</v>
      </c>
      <c r="F486" t="s">
        <v>1139</v>
      </c>
      <c r="G486" t="s">
        <v>239</v>
      </c>
      <c r="H486" t="s">
        <v>100</v>
      </c>
      <c r="I486" t="s">
        <v>1432</v>
      </c>
      <c r="J486" t="s">
        <v>50</v>
      </c>
      <c r="K486">
        <v>13</v>
      </c>
      <c r="L486">
        <v>26.2</v>
      </c>
      <c r="M486">
        <v>5.2</v>
      </c>
      <c r="N486">
        <v>2951</v>
      </c>
      <c r="O486">
        <v>4762</v>
      </c>
      <c r="P486">
        <v>5.2</v>
      </c>
      <c r="Q486">
        <v>67</v>
      </c>
      <c r="R486">
        <v>14.2</v>
      </c>
      <c r="S486">
        <v>3.52</v>
      </c>
      <c r="T486" t="s">
        <v>58</v>
      </c>
      <c r="U486">
        <v>8748</v>
      </c>
      <c r="V486">
        <v>4</v>
      </c>
      <c r="W486">
        <v>4</v>
      </c>
      <c r="X486">
        <v>710</v>
      </c>
      <c r="Y486">
        <v>15.6</v>
      </c>
      <c r="Z486" t="s">
        <v>197</v>
      </c>
      <c r="AA486">
        <v>46</v>
      </c>
      <c r="AB486">
        <v>54</v>
      </c>
      <c r="AC486" t="s">
        <v>53</v>
      </c>
      <c r="AD486">
        <v>5670</v>
      </c>
      <c r="AE486">
        <v>3513</v>
      </c>
      <c r="AF486">
        <v>1161.4000000000001</v>
      </c>
      <c r="AG486">
        <v>22</v>
      </c>
      <c r="AH486">
        <v>154</v>
      </c>
      <c r="AI486">
        <v>33.419431818181813</v>
      </c>
      <c r="AJ486">
        <v>25.98</v>
      </c>
      <c r="AK486">
        <v>28.31</v>
      </c>
      <c r="AL486">
        <v>8.91</v>
      </c>
      <c r="AM486">
        <v>901</v>
      </c>
      <c r="AN486">
        <v>35.74</v>
      </c>
      <c r="AO486">
        <v>8.8000000000000007</v>
      </c>
      <c r="AP486">
        <v>15.6</v>
      </c>
      <c r="AQ486">
        <v>4</v>
      </c>
    </row>
    <row r="487" spans="1:43" x14ac:dyDescent="0.3">
      <c r="A487">
        <v>486</v>
      </c>
      <c r="B487" t="s">
        <v>1433</v>
      </c>
      <c r="C487">
        <v>2024</v>
      </c>
      <c r="D487" t="s">
        <v>1426</v>
      </c>
      <c r="E487">
        <v>14</v>
      </c>
      <c r="F487" t="s">
        <v>1139</v>
      </c>
      <c r="G487" t="s">
        <v>131</v>
      </c>
      <c r="H487" t="s">
        <v>100</v>
      </c>
      <c r="I487" t="s">
        <v>1434</v>
      </c>
      <c r="J487" t="s">
        <v>50</v>
      </c>
      <c r="K487">
        <v>8.9</v>
      </c>
      <c r="L487">
        <v>3.9</v>
      </c>
      <c r="M487">
        <v>8.4</v>
      </c>
      <c r="N487">
        <v>5808</v>
      </c>
      <c r="O487">
        <v>363</v>
      </c>
      <c r="P487">
        <v>8.4</v>
      </c>
      <c r="Q487">
        <v>75</v>
      </c>
      <c r="R487">
        <v>381</v>
      </c>
      <c r="S487">
        <v>213.90689451974069</v>
      </c>
      <c r="T487" t="s">
        <v>96</v>
      </c>
      <c r="U487">
        <v>13027</v>
      </c>
      <c r="V487">
        <v>7</v>
      </c>
      <c r="W487">
        <v>9</v>
      </c>
      <c r="X487">
        <v>1.6970000000000001</v>
      </c>
      <c r="Y487">
        <v>10</v>
      </c>
      <c r="Z487" t="s">
        <v>124</v>
      </c>
      <c r="AA487">
        <v>40</v>
      </c>
      <c r="AB487">
        <v>60</v>
      </c>
      <c r="AC487" t="s">
        <v>53</v>
      </c>
      <c r="AD487">
        <v>8171</v>
      </c>
      <c r="AE487">
        <v>4886</v>
      </c>
      <c r="AF487">
        <v>1349.57</v>
      </c>
      <c r="AG487">
        <v>37</v>
      </c>
      <c r="AH487">
        <v>29</v>
      </c>
      <c r="AI487">
        <v>35.237824324324329</v>
      </c>
      <c r="AJ487">
        <v>25.61</v>
      </c>
      <c r="AK487">
        <v>22.27</v>
      </c>
      <c r="AL487">
        <v>5.48</v>
      </c>
      <c r="AM487">
        <v>901</v>
      </c>
      <c r="AN487">
        <v>35.74</v>
      </c>
      <c r="AO487">
        <v>157.44</v>
      </c>
      <c r="AP487">
        <v>10</v>
      </c>
      <c r="AQ487">
        <v>7</v>
      </c>
    </row>
    <row r="488" spans="1:43" x14ac:dyDescent="0.3">
      <c r="A488">
        <v>487</v>
      </c>
      <c r="B488" t="s">
        <v>1435</v>
      </c>
      <c r="C488">
        <v>2024</v>
      </c>
      <c r="D488" t="s">
        <v>1426</v>
      </c>
      <c r="E488">
        <v>6</v>
      </c>
      <c r="F488" t="s">
        <v>1139</v>
      </c>
      <c r="G488" t="s">
        <v>555</v>
      </c>
      <c r="H488" t="s">
        <v>100</v>
      </c>
      <c r="I488" t="s">
        <v>1436</v>
      </c>
      <c r="J488" t="s">
        <v>50</v>
      </c>
      <c r="K488">
        <v>20.100000000000001</v>
      </c>
      <c r="L488">
        <v>7.1</v>
      </c>
      <c r="M488">
        <v>3.2</v>
      </c>
      <c r="N488">
        <v>4945</v>
      </c>
      <c r="O488">
        <v>14610</v>
      </c>
      <c r="P488">
        <v>3.2</v>
      </c>
      <c r="Q488">
        <v>112</v>
      </c>
      <c r="R488">
        <v>19.600000000000001</v>
      </c>
      <c r="S488">
        <v>1.84</v>
      </c>
      <c r="T488" t="s">
        <v>71</v>
      </c>
      <c r="U488">
        <v>33318</v>
      </c>
      <c r="V488">
        <v>2</v>
      </c>
      <c r="W488">
        <v>2</v>
      </c>
      <c r="X488">
        <v>2.5529999999999999</v>
      </c>
      <c r="Y488">
        <v>12.9</v>
      </c>
      <c r="Z488" t="s">
        <v>1308</v>
      </c>
      <c r="AA488">
        <v>68</v>
      </c>
      <c r="AB488">
        <v>32</v>
      </c>
      <c r="AC488" t="s">
        <v>53</v>
      </c>
      <c r="AD488">
        <v>19204</v>
      </c>
      <c r="AE488">
        <v>14419</v>
      </c>
      <c r="AF488">
        <v>1257.07</v>
      </c>
      <c r="AG488">
        <v>10</v>
      </c>
      <c r="AH488">
        <v>612</v>
      </c>
      <c r="AI488">
        <v>27.2866</v>
      </c>
      <c r="AJ488">
        <v>27.35</v>
      </c>
      <c r="AK488">
        <v>13.88</v>
      </c>
      <c r="AL488">
        <v>3.81</v>
      </c>
      <c r="AM488">
        <v>901</v>
      </c>
      <c r="AN488">
        <v>35.74</v>
      </c>
      <c r="AO488">
        <v>9.76</v>
      </c>
      <c r="AP488">
        <v>12.9</v>
      </c>
      <c r="AQ488">
        <v>2</v>
      </c>
    </row>
    <row r="489" spans="1:43" x14ac:dyDescent="0.3">
      <c r="A489">
        <v>488</v>
      </c>
      <c r="B489" t="s">
        <v>1437</v>
      </c>
      <c r="C489">
        <v>2024</v>
      </c>
      <c r="D489" t="s">
        <v>1426</v>
      </c>
      <c r="E489">
        <v>19</v>
      </c>
      <c r="F489" t="s">
        <v>1139</v>
      </c>
      <c r="G489" t="s">
        <v>532</v>
      </c>
      <c r="H489" t="s">
        <v>100</v>
      </c>
      <c r="I489" t="s">
        <v>1438</v>
      </c>
      <c r="J489" t="s">
        <v>50</v>
      </c>
      <c r="K489">
        <v>7.2</v>
      </c>
      <c r="L489">
        <v>2.9</v>
      </c>
      <c r="M489">
        <v>1.6</v>
      </c>
      <c r="N489">
        <v>6237</v>
      </c>
      <c r="O489">
        <v>6888</v>
      </c>
      <c r="P489">
        <v>1.6</v>
      </c>
      <c r="Q489">
        <v>83</v>
      </c>
      <c r="R489">
        <v>9.6</v>
      </c>
      <c r="S489">
        <v>3.68</v>
      </c>
      <c r="T489" t="s">
        <v>77</v>
      </c>
      <c r="U489">
        <v>37222</v>
      </c>
      <c r="V489">
        <v>7</v>
      </c>
      <c r="W489">
        <v>11</v>
      </c>
      <c r="X489">
        <v>4.1479999999999997</v>
      </c>
      <c r="Y489">
        <v>10.199999999999999</v>
      </c>
      <c r="Z489" t="s">
        <v>326</v>
      </c>
      <c r="AA489">
        <v>45</v>
      </c>
      <c r="AB489">
        <v>55</v>
      </c>
      <c r="AC489" t="s">
        <v>53</v>
      </c>
      <c r="AD489">
        <v>18612</v>
      </c>
      <c r="AE489">
        <v>11214</v>
      </c>
      <c r="AF489">
        <v>788.07</v>
      </c>
      <c r="AG489">
        <v>9</v>
      </c>
      <c r="AH489">
        <v>424</v>
      </c>
      <c r="AI489">
        <v>39.266333333333343</v>
      </c>
      <c r="AJ489">
        <v>28.29</v>
      </c>
      <c r="AK489">
        <v>30.02</v>
      </c>
      <c r="AL489">
        <v>13.2</v>
      </c>
      <c r="AM489">
        <v>901</v>
      </c>
      <c r="AN489">
        <v>35.74</v>
      </c>
      <c r="AO489">
        <v>4.8</v>
      </c>
      <c r="AP489">
        <v>10.199999999999999</v>
      </c>
      <c r="AQ489">
        <v>7</v>
      </c>
    </row>
    <row r="490" spans="1:43" x14ac:dyDescent="0.3">
      <c r="A490">
        <v>489</v>
      </c>
      <c r="B490" t="s">
        <v>1439</v>
      </c>
      <c r="C490">
        <v>2024</v>
      </c>
      <c r="D490" t="s">
        <v>1426</v>
      </c>
      <c r="E490">
        <v>88</v>
      </c>
      <c r="F490" t="s">
        <v>1139</v>
      </c>
      <c r="G490" t="s">
        <v>47</v>
      </c>
      <c r="H490" t="s">
        <v>48</v>
      </c>
      <c r="I490" t="s">
        <v>547</v>
      </c>
      <c r="J490" t="s">
        <v>50</v>
      </c>
      <c r="K490">
        <v>3.5</v>
      </c>
      <c r="L490">
        <v>11.7</v>
      </c>
      <c r="M490">
        <v>4.9000000000000004</v>
      </c>
      <c r="N490">
        <v>2577</v>
      </c>
      <c r="O490">
        <v>15828</v>
      </c>
      <c r="P490">
        <v>4.9000000000000004</v>
      </c>
      <c r="Q490">
        <v>132</v>
      </c>
      <c r="R490">
        <v>34.9</v>
      </c>
      <c r="S490">
        <v>3.98</v>
      </c>
      <c r="T490" t="s">
        <v>51</v>
      </c>
      <c r="U490">
        <v>10095</v>
      </c>
      <c r="V490">
        <v>26</v>
      </c>
      <c r="W490">
        <v>33</v>
      </c>
      <c r="X490">
        <v>518</v>
      </c>
      <c r="Y490">
        <v>21</v>
      </c>
      <c r="Z490" t="s">
        <v>202</v>
      </c>
      <c r="AA490">
        <v>64</v>
      </c>
      <c r="AB490">
        <v>36</v>
      </c>
      <c r="AC490" t="s">
        <v>53</v>
      </c>
      <c r="AD490">
        <v>6676</v>
      </c>
      <c r="AE490">
        <v>5044</v>
      </c>
      <c r="AF490">
        <v>614.48</v>
      </c>
      <c r="AG490">
        <v>69</v>
      </c>
      <c r="AH490">
        <v>1</v>
      </c>
      <c r="AI490">
        <v>50.817340579710141</v>
      </c>
      <c r="AJ490">
        <v>35.82</v>
      </c>
      <c r="AK490">
        <v>38.92</v>
      </c>
      <c r="AL490">
        <v>35.29</v>
      </c>
      <c r="AM490">
        <v>901</v>
      </c>
      <c r="AN490">
        <v>35.74</v>
      </c>
      <c r="AO490">
        <v>16.899999999999999</v>
      </c>
      <c r="AP490">
        <v>21</v>
      </c>
      <c r="AQ490">
        <v>26</v>
      </c>
    </row>
    <row r="491" spans="1:43" x14ac:dyDescent="0.3">
      <c r="A491">
        <v>490</v>
      </c>
      <c r="B491" t="s">
        <v>1440</v>
      </c>
      <c r="C491">
        <v>2024</v>
      </c>
      <c r="D491" t="s">
        <v>1426</v>
      </c>
      <c r="E491">
        <v>37</v>
      </c>
      <c r="F491" t="s">
        <v>1139</v>
      </c>
      <c r="G491" t="s">
        <v>286</v>
      </c>
      <c r="H491" t="s">
        <v>48</v>
      </c>
      <c r="I491" t="s">
        <v>1441</v>
      </c>
      <c r="J491" t="s">
        <v>50</v>
      </c>
      <c r="K491">
        <v>4.5999999999999996</v>
      </c>
      <c r="L491">
        <v>2.2000000000000002</v>
      </c>
      <c r="M491">
        <v>2.2999999999999998</v>
      </c>
      <c r="N491">
        <v>1449</v>
      </c>
      <c r="O491">
        <v>1858</v>
      </c>
      <c r="P491">
        <v>2.2999999999999998</v>
      </c>
      <c r="Q491">
        <v>45</v>
      </c>
      <c r="R491">
        <v>3.6</v>
      </c>
      <c r="S491">
        <v>2.19</v>
      </c>
      <c r="T491" t="s">
        <v>96</v>
      </c>
      <c r="U491">
        <v>9198</v>
      </c>
      <c r="V491">
        <v>14</v>
      </c>
      <c r="W491">
        <v>10</v>
      </c>
      <c r="X491">
        <v>1.286</v>
      </c>
      <c r="Y491">
        <v>10.7</v>
      </c>
      <c r="Z491" t="s">
        <v>52</v>
      </c>
      <c r="AA491">
        <v>46</v>
      </c>
      <c r="AB491">
        <v>54</v>
      </c>
      <c r="AC491" t="s">
        <v>53</v>
      </c>
      <c r="AD491">
        <v>5821</v>
      </c>
      <c r="AE491">
        <v>3606</v>
      </c>
      <c r="AF491">
        <v>1470.93</v>
      </c>
      <c r="AG491">
        <v>24</v>
      </c>
      <c r="AH491">
        <v>95</v>
      </c>
      <c r="AI491">
        <v>29.87127083333333</v>
      </c>
      <c r="AJ491">
        <v>18.23</v>
      </c>
      <c r="AK491">
        <v>14.05</v>
      </c>
      <c r="AL491">
        <v>16.72</v>
      </c>
      <c r="AM491">
        <v>901</v>
      </c>
      <c r="AN491">
        <v>35.74</v>
      </c>
      <c r="AO491">
        <v>2.82</v>
      </c>
      <c r="AP491">
        <v>10.7</v>
      </c>
      <c r="AQ491">
        <v>14</v>
      </c>
    </row>
    <row r="492" spans="1:43" x14ac:dyDescent="0.3">
      <c r="A492">
        <v>491</v>
      </c>
      <c r="B492" t="s">
        <v>1442</v>
      </c>
      <c r="C492">
        <v>2024</v>
      </c>
      <c r="D492" t="s">
        <v>1426</v>
      </c>
      <c r="E492">
        <v>101</v>
      </c>
      <c r="F492" t="s">
        <v>1139</v>
      </c>
      <c r="G492" t="s">
        <v>47</v>
      </c>
      <c r="H492" t="s">
        <v>48</v>
      </c>
      <c r="I492" t="s">
        <v>1443</v>
      </c>
      <c r="J492" t="s">
        <v>50</v>
      </c>
      <c r="K492">
        <v>5.9</v>
      </c>
      <c r="L492">
        <v>5.8</v>
      </c>
      <c r="M492">
        <v>4.4000000000000004</v>
      </c>
      <c r="N492">
        <v>2753</v>
      </c>
      <c r="O492">
        <v>10613</v>
      </c>
      <c r="P492">
        <v>4.4000000000000004</v>
      </c>
      <c r="Q492">
        <v>111</v>
      </c>
      <c r="R492">
        <v>6.8</v>
      </c>
      <c r="S492">
        <v>1.69</v>
      </c>
      <c r="T492" t="s">
        <v>77</v>
      </c>
      <c r="U492">
        <v>21525</v>
      </c>
      <c r="V492">
        <v>28</v>
      </c>
      <c r="W492">
        <v>34.468828539999997</v>
      </c>
      <c r="X492">
        <v>1.4430000000000001</v>
      </c>
      <c r="Y492">
        <v>16.3</v>
      </c>
      <c r="Z492" t="s">
        <v>110</v>
      </c>
      <c r="AA492">
        <v>53.555508150000001</v>
      </c>
      <c r="AB492">
        <v>46.444491849999999</v>
      </c>
      <c r="AC492" t="s">
        <v>53</v>
      </c>
      <c r="AD492">
        <v>13261</v>
      </c>
      <c r="AE492">
        <v>10833</v>
      </c>
      <c r="AF492">
        <v>614.48</v>
      </c>
      <c r="AG492">
        <v>69</v>
      </c>
      <c r="AH492">
        <v>1</v>
      </c>
      <c r="AI492">
        <v>50.817340579710141</v>
      </c>
      <c r="AJ492">
        <v>35.82</v>
      </c>
      <c r="AK492">
        <v>38.92</v>
      </c>
      <c r="AL492">
        <v>35.29</v>
      </c>
      <c r="AM492">
        <v>901</v>
      </c>
      <c r="AN492">
        <v>35.74</v>
      </c>
      <c r="AO492">
        <v>5.36</v>
      </c>
      <c r="AP492">
        <v>16.3</v>
      </c>
      <c r="AQ492">
        <v>28</v>
      </c>
    </row>
    <row r="493" spans="1:43" x14ac:dyDescent="0.3">
      <c r="A493">
        <v>492</v>
      </c>
      <c r="B493" t="s">
        <v>1444</v>
      </c>
      <c r="C493">
        <v>2024</v>
      </c>
      <c r="D493" t="s">
        <v>1426</v>
      </c>
      <c r="E493">
        <v>189</v>
      </c>
      <c r="F493" t="s">
        <v>1139</v>
      </c>
      <c r="G493" t="s">
        <v>63</v>
      </c>
      <c r="H493" t="s">
        <v>64</v>
      </c>
      <c r="I493" t="s">
        <v>1445</v>
      </c>
      <c r="J493" t="s">
        <v>65</v>
      </c>
      <c r="K493">
        <v>5.3</v>
      </c>
      <c r="L493">
        <v>7.5</v>
      </c>
      <c r="M493">
        <v>11.1</v>
      </c>
      <c r="N493">
        <v>2087</v>
      </c>
      <c r="O493">
        <v>673</v>
      </c>
      <c r="P493">
        <v>11.1</v>
      </c>
      <c r="Q493">
        <v>73</v>
      </c>
      <c r="R493">
        <v>1001</v>
      </c>
      <c r="S493">
        <v>673</v>
      </c>
      <c r="T493" t="s">
        <v>96</v>
      </c>
      <c r="U493">
        <v>10367</v>
      </c>
      <c r="V493">
        <v>5</v>
      </c>
      <c r="W493">
        <v>5</v>
      </c>
      <c r="X493">
        <v>1</v>
      </c>
      <c r="Y493">
        <v>13.6</v>
      </c>
      <c r="Z493" t="s">
        <v>202</v>
      </c>
      <c r="AA493">
        <v>62</v>
      </c>
      <c r="AB493">
        <v>38</v>
      </c>
      <c r="AC493" t="s">
        <v>53</v>
      </c>
      <c r="AD493">
        <v>7170</v>
      </c>
      <c r="AE493">
        <v>3064</v>
      </c>
      <c r="AF493">
        <v>647.61</v>
      </c>
      <c r="AG493">
        <v>98</v>
      </c>
      <c r="AH493">
        <v>2</v>
      </c>
      <c r="AI493">
        <v>56.843244897959181</v>
      </c>
      <c r="AJ493">
        <v>29.74</v>
      </c>
      <c r="AK493">
        <v>38.11</v>
      </c>
      <c r="AL493">
        <v>19.260000000000002</v>
      </c>
      <c r="AM493">
        <v>901</v>
      </c>
      <c r="AN493">
        <v>35.74</v>
      </c>
      <c r="AO493">
        <v>407.06</v>
      </c>
      <c r="AP493">
        <v>13.6</v>
      </c>
      <c r="AQ493">
        <v>5</v>
      </c>
    </row>
    <row r="494" spans="1:43" x14ac:dyDescent="0.3">
      <c r="A494">
        <v>493</v>
      </c>
      <c r="B494" t="s">
        <v>1446</v>
      </c>
      <c r="C494">
        <v>2024</v>
      </c>
      <c r="D494" t="s">
        <v>1426</v>
      </c>
      <c r="E494">
        <v>19</v>
      </c>
      <c r="F494" t="s">
        <v>1139</v>
      </c>
      <c r="G494" t="s">
        <v>481</v>
      </c>
      <c r="H494" t="s">
        <v>48</v>
      </c>
      <c r="I494" t="s">
        <v>1447</v>
      </c>
      <c r="J494" t="s">
        <v>50</v>
      </c>
      <c r="K494">
        <v>12.6</v>
      </c>
      <c r="L494">
        <v>2.8</v>
      </c>
      <c r="M494">
        <v>5.7</v>
      </c>
      <c r="N494">
        <v>14865</v>
      </c>
      <c r="O494">
        <v>673</v>
      </c>
      <c r="P494">
        <v>5.7</v>
      </c>
      <c r="Q494">
        <v>129</v>
      </c>
      <c r="R494">
        <v>557</v>
      </c>
      <c r="S494">
        <v>272.91159772911601</v>
      </c>
      <c r="T494" t="s">
        <v>71</v>
      </c>
      <c r="U494">
        <v>28862</v>
      </c>
      <c r="V494">
        <v>5</v>
      </c>
      <c r="W494">
        <v>5</v>
      </c>
      <c r="X494">
        <v>2.4660000000000002</v>
      </c>
      <c r="Y494">
        <v>17.7</v>
      </c>
      <c r="Z494" t="s">
        <v>326</v>
      </c>
      <c r="AA494">
        <v>63</v>
      </c>
      <c r="AB494">
        <v>37</v>
      </c>
      <c r="AC494" t="s">
        <v>53</v>
      </c>
      <c r="AD494">
        <v>17212</v>
      </c>
      <c r="AE494">
        <v>9542</v>
      </c>
      <c r="AF494">
        <v>906.25</v>
      </c>
      <c r="AG494">
        <v>9</v>
      </c>
      <c r="AH494">
        <v>313</v>
      </c>
      <c r="AI494">
        <v>39.444055555555551</v>
      </c>
      <c r="AJ494">
        <v>32.270000000000003</v>
      </c>
      <c r="AK494">
        <v>29.18</v>
      </c>
      <c r="AL494">
        <v>17.100000000000001</v>
      </c>
      <c r="AM494">
        <v>901</v>
      </c>
      <c r="AN494">
        <v>35.74</v>
      </c>
      <c r="AO494">
        <v>226.22</v>
      </c>
      <c r="AP494">
        <v>17.7</v>
      </c>
      <c r="AQ494">
        <v>5</v>
      </c>
    </row>
    <row r="495" spans="1:43" x14ac:dyDescent="0.3">
      <c r="A495">
        <v>494</v>
      </c>
      <c r="B495" t="s">
        <v>1448</v>
      </c>
      <c r="C495">
        <v>2024</v>
      </c>
      <c r="D495" t="s">
        <v>1449</v>
      </c>
      <c r="E495">
        <v>47</v>
      </c>
      <c r="F495" t="s">
        <v>1139</v>
      </c>
      <c r="G495" t="s">
        <v>590</v>
      </c>
      <c r="H495" t="s">
        <v>100</v>
      </c>
      <c r="I495" t="s">
        <v>1450</v>
      </c>
      <c r="J495" t="s">
        <v>65</v>
      </c>
      <c r="K495">
        <v>9.1</v>
      </c>
      <c r="L495">
        <v>14.4</v>
      </c>
      <c r="M495">
        <v>17.3</v>
      </c>
      <c r="N495">
        <v>3285</v>
      </c>
      <c r="O495">
        <v>39132</v>
      </c>
      <c r="P495">
        <v>17.3</v>
      </c>
      <c r="Q495">
        <v>181</v>
      </c>
      <c r="R495">
        <v>44.3</v>
      </c>
      <c r="S495">
        <v>3.51</v>
      </c>
      <c r="T495" t="s">
        <v>96</v>
      </c>
      <c r="U495">
        <v>16339</v>
      </c>
      <c r="V495">
        <v>2</v>
      </c>
      <c r="W495">
        <v>3</v>
      </c>
      <c r="X495">
        <v>776</v>
      </c>
      <c r="Y495">
        <v>16.2</v>
      </c>
      <c r="Z495" t="s">
        <v>1451</v>
      </c>
      <c r="AA495">
        <v>47.53324774</v>
      </c>
      <c r="AB495">
        <v>52.46675226</v>
      </c>
      <c r="AC495" t="s">
        <v>53</v>
      </c>
      <c r="AD495">
        <v>10945</v>
      </c>
      <c r="AE495">
        <v>5212</v>
      </c>
      <c r="AF495">
        <v>1100.42</v>
      </c>
      <c r="AG495">
        <v>16</v>
      </c>
      <c r="AH495">
        <v>218</v>
      </c>
      <c r="AI495">
        <v>38.128875000000001</v>
      </c>
      <c r="AJ495">
        <v>27.22</v>
      </c>
      <c r="AK495">
        <v>36.06</v>
      </c>
      <c r="AL495">
        <v>6.8</v>
      </c>
      <c r="AM495">
        <v>951</v>
      </c>
      <c r="AN495">
        <v>32.17</v>
      </c>
      <c r="AO495">
        <v>28.1</v>
      </c>
      <c r="AP495">
        <v>16.2</v>
      </c>
      <c r="AQ495">
        <v>2</v>
      </c>
    </row>
    <row r="496" spans="1:43" x14ac:dyDescent="0.3">
      <c r="A496">
        <v>495</v>
      </c>
      <c r="B496" t="s">
        <v>1452</v>
      </c>
      <c r="C496">
        <v>2024</v>
      </c>
      <c r="D496" t="s">
        <v>1449</v>
      </c>
      <c r="E496">
        <v>109</v>
      </c>
      <c r="F496" t="s">
        <v>1139</v>
      </c>
      <c r="G496" t="s">
        <v>63</v>
      </c>
      <c r="H496" t="s">
        <v>64</v>
      </c>
      <c r="I496" t="s">
        <v>1453</v>
      </c>
      <c r="J496" t="s">
        <v>50</v>
      </c>
      <c r="K496">
        <v>9</v>
      </c>
      <c r="L496">
        <v>6</v>
      </c>
      <c r="M496">
        <v>11.4</v>
      </c>
      <c r="N496">
        <v>8917</v>
      </c>
      <c r="O496">
        <v>460</v>
      </c>
      <c r="P496">
        <v>11.4</v>
      </c>
      <c r="Q496">
        <v>177</v>
      </c>
      <c r="R496">
        <v>560</v>
      </c>
      <c r="S496">
        <v>228.74191944306321</v>
      </c>
      <c r="T496" t="s">
        <v>58</v>
      </c>
      <c r="U496">
        <v>32959</v>
      </c>
      <c r="V496">
        <v>11</v>
      </c>
      <c r="W496">
        <v>13</v>
      </c>
      <c r="X496">
        <v>2.0110000000000001</v>
      </c>
      <c r="Y496">
        <v>18.3</v>
      </c>
      <c r="Z496" t="s">
        <v>337</v>
      </c>
      <c r="AA496">
        <v>52</v>
      </c>
      <c r="AB496">
        <v>48</v>
      </c>
      <c r="AC496" t="s">
        <v>53</v>
      </c>
      <c r="AD496">
        <v>23064</v>
      </c>
      <c r="AE496">
        <v>9854</v>
      </c>
      <c r="AF496">
        <v>647.61</v>
      </c>
      <c r="AG496">
        <v>98</v>
      </c>
      <c r="AH496">
        <v>2</v>
      </c>
      <c r="AI496">
        <v>56.843244897959181</v>
      </c>
      <c r="AJ496">
        <v>29.74</v>
      </c>
      <c r="AK496">
        <v>38.11</v>
      </c>
      <c r="AL496">
        <v>19.260000000000002</v>
      </c>
      <c r="AM496">
        <v>951</v>
      </c>
      <c r="AN496">
        <v>32.17</v>
      </c>
      <c r="AO496">
        <v>230.84</v>
      </c>
      <c r="AP496">
        <v>18.3</v>
      </c>
      <c r="AQ496">
        <v>11</v>
      </c>
    </row>
    <row r="497" spans="1:43" x14ac:dyDescent="0.3">
      <c r="A497">
        <v>496</v>
      </c>
      <c r="B497" t="s">
        <v>1454</v>
      </c>
      <c r="C497">
        <v>2024</v>
      </c>
      <c r="D497" t="s">
        <v>1449</v>
      </c>
      <c r="E497">
        <v>47</v>
      </c>
      <c r="F497" t="s">
        <v>1139</v>
      </c>
      <c r="G497" t="s">
        <v>131</v>
      </c>
      <c r="H497" t="s">
        <v>100</v>
      </c>
      <c r="I497" t="s">
        <v>1455</v>
      </c>
      <c r="J497" t="s">
        <v>50</v>
      </c>
      <c r="K497">
        <v>6.3</v>
      </c>
      <c r="L497">
        <v>2.5</v>
      </c>
      <c r="M497">
        <v>7.3</v>
      </c>
      <c r="N497">
        <v>1994</v>
      </c>
      <c r="O497">
        <v>1001</v>
      </c>
      <c r="P497">
        <v>7.3</v>
      </c>
      <c r="Q497">
        <v>103</v>
      </c>
      <c r="R497">
        <v>717</v>
      </c>
      <c r="S497">
        <v>998.00598205383858</v>
      </c>
      <c r="T497" t="s">
        <v>71</v>
      </c>
      <c r="U497">
        <v>7134</v>
      </c>
      <c r="V497">
        <v>4</v>
      </c>
      <c r="W497">
        <v>4</v>
      </c>
      <c r="X497">
        <v>1.0029999999999999</v>
      </c>
      <c r="Y497">
        <v>14.6</v>
      </c>
      <c r="Z497" t="s">
        <v>852</v>
      </c>
      <c r="AA497">
        <v>38</v>
      </c>
      <c r="AB497">
        <v>62</v>
      </c>
      <c r="AC497" t="s">
        <v>53</v>
      </c>
      <c r="AD497">
        <v>5160</v>
      </c>
      <c r="AE497">
        <v>1904</v>
      </c>
      <c r="AF497">
        <v>1349.57</v>
      </c>
      <c r="AG497">
        <v>37</v>
      </c>
      <c r="AH497">
        <v>29</v>
      </c>
      <c r="AI497">
        <v>35.237824324324329</v>
      </c>
      <c r="AJ497">
        <v>25.61</v>
      </c>
      <c r="AK497">
        <v>22.27</v>
      </c>
      <c r="AL497">
        <v>5.48</v>
      </c>
      <c r="AM497">
        <v>951</v>
      </c>
      <c r="AN497">
        <v>32.17</v>
      </c>
      <c r="AO497">
        <v>291.18</v>
      </c>
      <c r="AP497">
        <v>14.6</v>
      </c>
      <c r="AQ497">
        <v>4</v>
      </c>
    </row>
    <row r="498" spans="1:43" x14ac:dyDescent="0.3">
      <c r="A498">
        <v>497</v>
      </c>
      <c r="B498" t="s">
        <v>1456</v>
      </c>
      <c r="C498">
        <v>2024</v>
      </c>
      <c r="D498" t="s">
        <v>1449</v>
      </c>
      <c r="E498">
        <v>35</v>
      </c>
      <c r="F498" t="s">
        <v>1139</v>
      </c>
      <c r="G498" t="s">
        <v>131</v>
      </c>
      <c r="H498" t="s">
        <v>100</v>
      </c>
      <c r="I498" t="s">
        <v>1457</v>
      </c>
      <c r="J498" t="s">
        <v>50</v>
      </c>
      <c r="K498">
        <v>3.8</v>
      </c>
      <c r="L498">
        <v>2.2000000000000002</v>
      </c>
      <c r="M498">
        <v>4.7</v>
      </c>
      <c r="N498">
        <v>2092</v>
      </c>
      <c r="O498">
        <v>898</v>
      </c>
      <c r="P498">
        <v>4.7</v>
      </c>
      <c r="Q498">
        <v>97</v>
      </c>
      <c r="R498">
        <v>794</v>
      </c>
      <c r="S498">
        <v>841.6119962511716</v>
      </c>
      <c r="T498" t="s">
        <v>71</v>
      </c>
      <c r="U498">
        <v>6248</v>
      </c>
      <c r="V498">
        <v>4</v>
      </c>
      <c r="W498">
        <v>5</v>
      </c>
      <c r="X498">
        <v>1.0669999999999999</v>
      </c>
      <c r="Y498">
        <v>7.6</v>
      </c>
      <c r="Z498" t="s">
        <v>152</v>
      </c>
      <c r="AA498">
        <v>39</v>
      </c>
      <c r="AB498">
        <v>61</v>
      </c>
      <c r="AC498" t="s">
        <v>53</v>
      </c>
      <c r="AD498">
        <v>4926</v>
      </c>
      <c r="AE498">
        <v>1229</v>
      </c>
      <c r="AF498">
        <v>1349.57</v>
      </c>
      <c r="AG498">
        <v>37</v>
      </c>
      <c r="AH498">
        <v>29</v>
      </c>
      <c r="AI498">
        <v>35.237824324324329</v>
      </c>
      <c r="AJ498">
        <v>25.61</v>
      </c>
      <c r="AK498">
        <v>22.27</v>
      </c>
      <c r="AL498">
        <v>5.48</v>
      </c>
      <c r="AM498">
        <v>951</v>
      </c>
      <c r="AN498">
        <v>32.17</v>
      </c>
      <c r="AO498">
        <v>320.42</v>
      </c>
      <c r="AP498">
        <v>7.6</v>
      </c>
      <c r="AQ498">
        <v>4</v>
      </c>
    </row>
    <row r="499" spans="1:43" x14ac:dyDescent="0.3">
      <c r="A499">
        <v>498</v>
      </c>
      <c r="B499" t="s">
        <v>1458</v>
      </c>
      <c r="C499">
        <v>2024</v>
      </c>
      <c r="D499" t="s">
        <v>1449</v>
      </c>
      <c r="E499">
        <v>13</v>
      </c>
      <c r="F499" t="s">
        <v>1139</v>
      </c>
      <c r="G499" t="s">
        <v>590</v>
      </c>
      <c r="H499" t="s">
        <v>100</v>
      </c>
      <c r="I499" t="s">
        <v>590</v>
      </c>
      <c r="J499" t="s">
        <v>50</v>
      </c>
      <c r="K499">
        <v>8</v>
      </c>
      <c r="L499">
        <v>2.6</v>
      </c>
      <c r="M499">
        <v>20.7</v>
      </c>
      <c r="N499">
        <v>5356</v>
      </c>
      <c r="O499">
        <v>36516</v>
      </c>
      <c r="P499">
        <v>20.7</v>
      </c>
      <c r="Q499">
        <v>205</v>
      </c>
      <c r="R499">
        <v>50.7</v>
      </c>
      <c r="S499">
        <v>5.58</v>
      </c>
      <c r="T499" t="s">
        <v>58</v>
      </c>
      <c r="U499">
        <v>10235</v>
      </c>
      <c r="V499">
        <v>4</v>
      </c>
      <c r="W499">
        <v>5</v>
      </c>
      <c r="X499">
        <v>935</v>
      </c>
      <c r="Y499">
        <v>11.2</v>
      </c>
      <c r="Z499" t="s">
        <v>185</v>
      </c>
      <c r="AA499">
        <v>52</v>
      </c>
      <c r="AB499">
        <v>48</v>
      </c>
      <c r="AC499" t="s">
        <v>53</v>
      </c>
      <c r="AD499">
        <v>6634</v>
      </c>
      <c r="AE499">
        <v>3736</v>
      </c>
      <c r="AF499">
        <v>1100.42</v>
      </c>
      <c r="AG499">
        <v>16</v>
      </c>
      <c r="AH499">
        <v>218</v>
      </c>
      <c r="AI499">
        <v>38.128875000000001</v>
      </c>
      <c r="AJ499">
        <v>27.22</v>
      </c>
      <c r="AK499">
        <v>36.06</v>
      </c>
      <c r="AL499">
        <v>6.8</v>
      </c>
      <c r="AM499">
        <v>951</v>
      </c>
      <c r="AN499">
        <v>32.17</v>
      </c>
      <c r="AO499">
        <v>32.700000000000003</v>
      </c>
      <c r="AP499">
        <v>11.2</v>
      </c>
      <c r="AQ499">
        <v>4</v>
      </c>
    </row>
    <row r="500" spans="1:43" x14ac:dyDescent="0.3">
      <c r="A500">
        <v>499</v>
      </c>
      <c r="B500" t="s">
        <v>1459</v>
      </c>
      <c r="C500">
        <v>2024</v>
      </c>
      <c r="D500" t="s">
        <v>1449</v>
      </c>
      <c r="E500">
        <v>4</v>
      </c>
      <c r="F500" t="s">
        <v>1139</v>
      </c>
      <c r="G500" t="s">
        <v>555</v>
      </c>
      <c r="H500" t="s">
        <v>100</v>
      </c>
      <c r="I500" t="s">
        <v>1460</v>
      </c>
      <c r="J500" t="s">
        <v>50</v>
      </c>
      <c r="K500">
        <v>16.399999999999999</v>
      </c>
      <c r="L500">
        <v>12.1</v>
      </c>
      <c r="M500">
        <v>4.0999999999999996</v>
      </c>
      <c r="N500">
        <v>11230</v>
      </c>
      <c r="O500">
        <v>898</v>
      </c>
      <c r="P500">
        <v>4.0999999999999996</v>
      </c>
      <c r="Q500">
        <v>136</v>
      </c>
      <c r="R500">
        <v>879</v>
      </c>
      <c r="S500">
        <v>482.27712137486571</v>
      </c>
      <c r="T500" t="s">
        <v>51</v>
      </c>
      <c r="U500">
        <v>32895</v>
      </c>
      <c r="V500">
        <v>2</v>
      </c>
      <c r="W500">
        <v>2</v>
      </c>
      <c r="X500">
        <v>1.8620000000000001</v>
      </c>
      <c r="Y500">
        <v>17.2</v>
      </c>
      <c r="Z500" t="s">
        <v>326</v>
      </c>
      <c r="AA500">
        <v>61</v>
      </c>
      <c r="AB500">
        <v>39</v>
      </c>
      <c r="AC500" t="s">
        <v>53</v>
      </c>
      <c r="AD500">
        <v>19193</v>
      </c>
      <c r="AE500">
        <v>13409</v>
      </c>
      <c r="AF500">
        <v>1257.07</v>
      </c>
      <c r="AG500">
        <v>10</v>
      </c>
      <c r="AH500">
        <v>612</v>
      </c>
      <c r="AI500">
        <v>27.2866</v>
      </c>
      <c r="AJ500">
        <v>27.35</v>
      </c>
      <c r="AK500">
        <v>13.88</v>
      </c>
      <c r="AL500">
        <v>3.81</v>
      </c>
      <c r="AM500">
        <v>951</v>
      </c>
      <c r="AN500">
        <v>32.17</v>
      </c>
      <c r="AO500">
        <v>354.06</v>
      </c>
      <c r="AP500">
        <v>17.2</v>
      </c>
      <c r="AQ500">
        <v>2</v>
      </c>
    </row>
    <row r="501" spans="1:43" x14ac:dyDescent="0.3">
      <c r="A501">
        <v>500</v>
      </c>
      <c r="B501" t="s">
        <v>1461</v>
      </c>
      <c r="C501">
        <v>2024</v>
      </c>
      <c r="D501" t="s">
        <v>1449</v>
      </c>
      <c r="E501">
        <v>15</v>
      </c>
      <c r="F501" t="s">
        <v>1139</v>
      </c>
      <c r="G501" t="s">
        <v>1227</v>
      </c>
      <c r="H501" t="s">
        <v>48</v>
      </c>
      <c r="I501" t="s">
        <v>1227</v>
      </c>
      <c r="J501" t="s">
        <v>50</v>
      </c>
      <c r="K501">
        <v>8.1</v>
      </c>
      <c r="L501">
        <v>14.8</v>
      </c>
      <c r="M501">
        <v>1.8</v>
      </c>
      <c r="N501">
        <v>3736</v>
      </c>
      <c r="O501">
        <v>25303</v>
      </c>
      <c r="P501">
        <v>1.8</v>
      </c>
      <c r="Q501">
        <v>166</v>
      </c>
      <c r="R501">
        <v>23.3</v>
      </c>
      <c r="S501">
        <v>1.98</v>
      </c>
      <c r="T501" t="s">
        <v>96</v>
      </c>
      <c r="U501">
        <v>22580</v>
      </c>
      <c r="V501">
        <v>1</v>
      </c>
      <c r="W501">
        <v>1</v>
      </c>
      <c r="X501">
        <v>2.1480000000000001</v>
      </c>
      <c r="Y501">
        <v>11.9</v>
      </c>
      <c r="Z501" t="s">
        <v>241</v>
      </c>
      <c r="AA501">
        <v>45</v>
      </c>
      <c r="AB501">
        <v>55</v>
      </c>
      <c r="AC501" t="s">
        <v>53</v>
      </c>
      <c r="AD501">
        <v>14554</v>
      </c>
      <c r="AE501">
        <v>10533</v>
      </c>
      <c r="AF501">
        <v>1634.04</v>
      </c>
      <c r="AG501">
        <v>5</v>
      </c>
      <c r="AH501">
        <v>786</v>
      </c>
      <c r="AI501">
        <v>23.9251</v>
      </c>
      <c r="AJ501">
        <v>15.78</v>
      </c>
      <c r="AK501">
        <v>11.82</v>
      </c>
      <c r="AL501">
        <v>9.68</v>
      </c>
      <c r="AM501">
        <v>951</v>
      </c>
      <c r="AN501">
        <v>32.17</v>
      </c>
      <c r="AO501">
        <v>10.4</v>
      </c>
      <c r="AP501">
        <v>11.9</v>
      </c>
      <c r="AQ501">
        <v>1</v>
      </c>
    </row>
    <row r="502" spans="1:43" x14ac:dyDescent="0.3">
      <c r="A502">
        <v>501</v>
      </c>
      <c r="B502" t="s">
        <v>1462</v>
      </c>
      <c r="C502">
        <v>2024</v>
      </c>
      <c r="D502" t="s">
        <v>1449</v>
      </c>
      <c r="E502">
        <v>1</v>
      </c>
      <c r="F502" t="s">
        <v>1139</v>
      </c>
      <c r="G502" t="s">
        <v>1463</v>
      </c>
      <c r="H502" t="s">
        <v>493</v>
      </c>
      <c r="I502" t="s">
        <v>1464</v>
      </c>
      <c r="J502" t="s">
        <v>50</v>
      </c>
      <c r="K502">
        <v>10.199999999999999</v>
      </c>
      <c r="L502">
        <v>4.7</v>
      </c>
      <c r="M502">
        <v>4.5999999999999996</v>
      </c>
      <c r="N502">
        <v>3202</v>
      </c>
      <c r="O502">
        <v>673</v>
      </c>
      <c r="P502">
        <v>4.5999999999999996</v>
      </c>
      <c r="Q502">
        <v>64</v>
      </c>
      <c r="R502">
        <v>981</v>
      </c>
      <c r="S502">
        <v>0.45844686648501359</v>
      </c>
      <c r="T502" t="s">
        <v>71</v>
      </c>
      <c r="U502">
        <v>29510</v>
      </c>
      <c r="V502">
        <v>3</v>
      </c>
      <c r="W502">
        <v>4</v>
      </c>
      <c r="X502">
        <v>1468</v>
      </c>
      <c r="Y502">
        <v>19.2</v>
      </c>
      <c r="Z502" t="s">
        <v>102</v>
      </c>
      <c r="AA502">
        <v>43</v>
      </c>
      <c r="AB502">
        <v>57</v>
      </c>
      <c r="AC502" t="s">
        <v>53</v>
      </c>
      <c r="AD502">
        <v>14448</v>
      </c>
      <c r="AE502">
        <v>11058</v>
      </c>
      <c r="AF502">
        <v>1100.5</v>
      </c>
      <c r="AG502">
        <v>1</v>
      </c>
      <c r="AH502">
        <v>969</v>
      </c>
      <c r="AI502">
        <v>33.311500000000002</v>
      </c>
      <c r="AJ502">
        <v>13.4</v>
      </c>
      <c r="AK502">
        <v>6.5</v>
      </c>
      <c r="AL502">
        <v>4</v>
      </c>
      <c r="AM502">
        <v>951</v>
      </c>
      <c r="AN502">
        <v>32.17</v>
      </c>
      <c r="AO502">
        <v>395.16</v>
      </c>
      <c r="AP502">
        <v>19.2</v>
      </c>
      <c r="AQ502">
        <v>3</v>
      </c>
    </row>
    <row r="503" spans="1:43" x14ac:dyDescent="0.3">
      <c r="A503">
        <v>502</v>
      </c>
      <c r="B503" t="s">
        <v>1465</v>
      </c>
      <c r="C503">
        <v>2024</v>
      </c>
      <c r="D503" t="s">
        <v>1449</v>
      </c>
      <c r="E503">
        <v>4</v>
      </c>
      <c r="F503" t="s">
        <v>1139</v>
      </c>
      <c r="G503" t="s">
        <v>1227</v>
      </c>
      <c r="H503" t="s">
        <v>48</v>
      </c>
      <c r="I503" t="s">
        <v>1466</v>
      </c>
      <c r="J503" t="s">
        <v>50</v>
      </c>
      <c r="K503">
        <v>5.6</v>
      </c>
      <c r="L503">
        <v>5.7</v>
      </c>
      <c r="M503">
        <v>2.2999999999999998</v>
      </c>
      <c r="N503">
        <v>834</v>
      </c>
      <c r="O503">
        <v>2494</v>
      </c>
      <c r="P503">
        <v>2.2999999999999998</v>
      </c>
      <c r="Q503">
        <v>44</v>
      </c>
      <c r="R503">
        <v>5.8</v>
      </c>
      <c r="S503">
        <v>2</v>
      </c>
      <c r="T503" t="s">
        <v>77</v>
      </c>
      <c r="U503">
        <v>8449</v>
      </c>
      <c r="V503">
        <v>24</v>
      </c>
      <c r="W503">
        <v>7</v>
      </c>
      <c r="X503">
        <v>893</v>
      </c>
      <c r="Y503">
        <v>12</v>
      </c>
      <c r="Z503" t="s">
        <v>408</v>
      </c>
      <c r="AA503">
        <v>39</v>
      </c>
      <c r="AB503">
        <v>61</v>
      </c>
      <c r="AC503" t="s">
        <v>53</v>
      </c>
      <c r="AD503">
        <v>5359</v>
      </c>
      <c r="AE503">
        <v>2249</v>
      </c>
      <c r="AF503">
        <v>1634.04</v>
      </c>
      <c r="AG503">
        <v>5</v>
      </c>
      <c r="AH503">
        <v>786</v>
      </c>
      <c r="AI503">
        <v>23.9251</v>
      </c>
      <c r="AJ503">
        <v>15.78</v>
      </c>
      <c r="AK503">
        <v>11.82</v>
      </c>
      <c r="AL503">
        <v>9.68</v>
      </c>
      <c r="AM503">
        <v>951</v>
      </c>
      <c r="AN503">
        <v>32.17</v>
      </c>
      <c r="AO503">
        <v>3.7</v>
      </c>
      <c r="AP503">
        <v>12</v>
      </c>
      <c r="AQ503">
        <v>24</v>
      </c>
    </row>
    <row r="504" spans="1:43" x14ac:dyDescent="0.3">
      <c r="A504">
        <v>503</v>
      </c>
      <c r="B504" t="s">
        <v>1467</v>
      </c>
      <c r="C504">
        <v>2024</v>
      </c>
      <c r="D504" t="s">
        <v>1449</v>
      </c>
      <c r="E504">
        <v>34</v>
      </c>
      <c r="F504" t="s">
        <v>1139</v>
      </c>
      <c r="G504" t="s">
        <v>63</v>
      </c>
      <c r="H504" t="s">
        <v>64</v>
      </c>
      <c r="I504" t="s">
        <v>1468</v>
      </c>
      <c r="J504" t="s">
        <v>50</v>
      </c>
      <c r="K504">
        <v>9.6999999999999993</v>
      </c>
      <c r="L504">
        <v>19</v>
      </c>
      <c r="M504">
        <v>12.8</v>
      </c>
      <c r="N504">
        <v>6483</v>
      </c>
      <c r="O504">
        <v>28674</v>
      </c>
      <c r="P504">
        <v>12.8</v>
      </c>
      <c r="Q504">
        <v>162</v>
      </c>
      <c r="R504">
        <v>31.5</v>
      </c>
      <c r="S504">
        <v>3.23</v>
      </c>
      <c r="T504" t="s">
        <v>71</v>
      </c>
      <c r="U504">
        <v>34810</v>
      </c>
      <c r="V504">
        <v>4</v>
      </c>
      <c r="W504">
        <v>3</v>
      </c>
      <c r="X504">
        <v>1.694</v>
      </c>
      <c r="Y504">
        <v>21.6</v>
      </c>
      <c r="Z504" t="s">
        <v>457</v>
      </c>
      <c r="AA504">
        <v>57</v>
      </c>
      <c r="AB504">
        <v>43</v>
      </c>
      <c r="AC504" t="s">
        <v>53</v>
      </c>
      <c r="AD504">
        <v>22789</v>
      </c>
      <c r="AE504">
        <v>12893</v>
      </c>
      <c r="AF504">
        <v>755.8</v>
      </c>
      <c r="AG504">
        <v>98</v>
      </c>
      <c r="AH504">
        <v>2</v>
      </c>
      <c r="AI504">
        <v>56.843244897959181</v>
      </c>
      <c r="AJ504">
        <v>42.15</v>
      </c>
      <c r="AK504">
        <v>43.47</v>
      </c>
      <c r="AL504">
        <v>9.93</v>
      </c>
      <c r="AM504">
        <v>951</v>
      </c>
      <c r="AN504">
        <v>32.17</v>
      </c>
      <c r="AO504">
        <v>20.28</v>
      </c>
      <c r="AP504">
        <v>21.6</v>
      </c>
      <c r="AQ504">
        <v>4</v>
      </c>
    </row>
    <row r="505" spans="1:43" x14ac:dyDescent="0.3">
      <c r="A505">
        <v>504</v>
      </c>
      <c r="B505" t="s">
        <v>1469</v>
      </c>
      <c r="C505">
        <v>2024</v>
      </c>
      <c r="D505" t="s">
        <v>1449</v>
      </c>
      <c r="E505">
        <v>18</v>
      </c>
      <c r="F505" t="s">
        <v>1139</v>
      </c>
      <c r="G505" t="s">
        <v>131</v>
      </c>
      <c r="H505" t="s">
        <v>100</v>
      </c>
      <c r="I505" t="s">
        <v>132</v>
      </c>
      <c r="J505" t="s">
        <v>50</v>
      </c>
      <c r="K505">
        <v>12.6</v>
      </c>
      <c r="L505">
        <v>5.4</v>
      </c>
      <c r="M505">
        <v>14.3</v>
      </c>
      <c r="N505">
        <v>1848</v>
      </c>
      <c r="O505">
        <v>304</v>
      </c>
      <c r="P505">
        <v>14.3</v>
      </c>
      <c r="Q505">
        <v>77</v>
      </c>
      <c r="R505">
        <v>772</v>
      </c>
      <c r="S505">
        <v>0.36982968369829677</v>
      </c>
      <c r="T505" t="s">
        <v>71</v>
      </c>
      <c r="U505">
        <v>8903</v>
      </c>
      <c r="V505">
        <v>7</v>
      </c>
      <c r="W505">
        <v>5</v>
      </c>
      <c r="X505">
        <v>822</v>
      </c>
      <c r="Y505">
        <v>10.9</v>
      </c>
      <c r="Z505" t="s">
        <v>332</v>
      </c>
      <c r="AA505">
        <v>39</v>
      </c>
      <c r="AB505">
        <v>61</v>
      </c>
      <c r="AC505" t="s">
        <v>53</v>
      </c>
      <c r="AD505">
        <v>6227</v>
      </c>
      <c r="AE505">
        <v>2562</v>
      </c>
      <c r="AF505">
        <v>1349.57</v>
      </c>
      <c r="AG505">
        <v>37</v>
      </c>
      <c r="AH505">
        <v>29</v>
      </c>
      <c r="AI505">
        <v>35.237824324324329</v>
      </c>
      <c r="AJ505">
        <v>25.61</v>
      </c>
      <c r="AK505">
        <v>22.27</v>
      </c>
      <c r="AL505">
        <v>5.48</v>
      </c>
      <c r="AM505">
        <v>951</v>
      </c>
      <c r="AN505">
        <v>32.17</v>
      </c>
      <c r="AO505">
        <v>317.38</v>
      </c>
      <c r="AP505">
        <v>10.9</v>
      </c>
      <c r="AQ505">
        <v>7</v>
      </c>
    </row>
    <row r="506" spans="1:43" x14ac:dyDescent="0.3">
      <c r="A506">
        <v>505</v>
      </c>
      <c r="B506" t="s">
        <v>1470</v>
      </c>
      <c r="C506">
        <v>2024</v>
      </c>
      <c r="D506" t="s">
        <v>1449</v>
      </c>
      <c r="E506">
        <v>1</v>
      </c>
      <c r="F506" t="s">
        <v>1139</v>
      </c>
      <c r="G506" t="s">
        <v>1471</v>
      </c>
      <c r="H506" t="s">
        <v>100</v>
      </c>
      <c r="I506" t="s">
        <v>1472</v>
      </c>
      <c r="J506" t="s">
        <v>50</v>
      </c>
      <c r="K506">
        <v>9.5</v>
      </c>
      <c r="L506">
        <v>11.4</v>
      </c>
      <c r="M506">
        <v>1.5</v>
      </c>
      <c r="N506">
        <v>23592</v>
      </c>
      <c r="O506">
        <v>17935</v>
      </c>
      <c r="P506">
        <v>1.5</v>
      </c>
      <c r="Q506">
        <v>134</v>
      </c>
      <c r="R506">
        <v>10.3</v>
      </c>
      <c r="S506">
        <v>3.18</v>
      </c>
      <c r="T506" t="s">
        <v>77</v>
      </c>
      <c r="U506">
        <v>77128</v>
      </c>
      <c r="V506">
        <v>0</v>
      </c>
      <c r="W506">
        <v>0</v>
      </c>
      <c r="X506">
        <v>6.6959999999999997</v>
      </c>
      <c r="Y506">
        <v>13.3</v>
      </c>
      <c r="Z506" t="s">
        <v>457</v>
      </c>
      <c r="AA506">
        <v>60</v>
      </c>
      <c r="AB506">
        <v>40</v>
      </c>
      <c r="AC506" t="s">
        <v>53</v>
      </c>
      <c r="AD506">
        <v>52525</v>
      </c>
      <c r="AE506">
        <v>23068</v>
      </c>
      <c r="AF506">
        <v>1516.04</v>
      </c>
      <c r="AG506">
        <v>5</v>
      </c>
      <c r="AH506">
        <v>1346</v>
      </c>
      <c r="AI506">
        <v>19.221299999999999</v>
      </c>
      <c r="AJ506">
        <v>18.920000000000002</v>
      </c>
      <c r="AK506">
        <v>13.9</v>
      </c>
      <c r="AL506">
        <v>1.06</v>
      </c>
      <c r="AM506">
        <v>951</v>
      </c>
      <c r="AN506">
        <v>32.17</v>
      </c>
      <c r="AO506">
        <v>5.0199999999999996</v>
      </c>
      <c r="AP506">
        <v>13.3</v>
      </c>
      <c r="AQ506">
        <v>0</v>
      </c>
    </row>
    <row r="507" spans="1:43" x14ac:dyDescent="0.3">
      <c r="A507">
        <v>506</v>
      </c>
      <c r="B507" t="s">
        <v>1473</v>
      </c>
      <c r="C507">
        <v>2024</v>
      </c>
      <c r="D507" t="s">
        <v>1449</v>
      </c>
      <c r="E507">
        <v>33</v>
      </c>
      <c r="F507" t="s">
        <v>1139</v>
      </c>
      <c r="G507" t="s">
        <v>384</v>
      </c>
      <c r="H507" t="s">
        <v>48</v>
      </c>
      <c r="I507" t="s">
        <v>1474</v>
      </c>
      <c r="J507" t="s">
        <v>50</v>
      </c>
      <c r="K507">
        <v>5.7</v>
      </c>
      <c r="L507">
        <v>2</v>
      </c>
      <c r="M507">
        <v>25.7</v>
      </c>
      <c r="N507">
        <v>2334</v>
      </c>
      <c r="O507">
        <v>460</v>
      </c>
      <c r="P507">
        <v>25.7</v>
      </c>
      <c r="Q507">
        <v>173</v>
      </c>
      <c r="R507">
        <v>669</v>
      </c>
      <c r="S507">
        <v>0.48218029350104818</v>
      </c>
      <c r="T507" t="s">
        <v>58</v>
      </c>
      <c r="U507">
        <v>12784</v>
      </c>
      <c r="V507">
        <v>5</v>
      </c>
      <c r="W507">
        <v>8</v>
      </c>
      <c r="X507">
        <v>954</v>
      </c>
      <c r="Y507">
        <v>16.100000000000001</v>
      </c>
      <c r="Z507" t="s">
        <v>326</v>
      </c>
      <c r="AA507">
        <v>54</v>
      </c>
      <c r="AB507">
        <v>46</v>
      </c>
      <c r="AC507" t="s">
        <v>53</v>
      </c>
      <c r="AD507">
        <v>7437</v>
      </c>
      <c r="AE507">
        <v>2949</v>
      </c>
      <c r="AF507">
        <v>644.77</v>
      </c>
      <c r="AG507">
        <v>18</v>
      </c>
      <c r="AH507">
        <v>181</v>
      </c>
      <c r="AI507">
        <v>47.393000000000001</v>
      </c>
      <c r="AJ507">
        <v>35.17</v>
      </c>
      <c r="AK507">
        <v>47.49</v>
      </c>
      <c r="AL507">
        <v>13.04</v>
      </c>
      <c r="AM507">
        <v>951</v>
      </c>
      <c r="AN507">
        <v>32.17</v>
      </c>
      <c r="AO507">
        <v>283.02</v>
      </c>
      <c r="AP507">
        <v>16.100000000000001</v>
      </c>
      <c r="AQ507">
        <v>5</v>
      </c>
    </row>
    <row r="508" spans="1:43" x14ac:dyDescent="0.3">
      <c r="A508">
        <v>507</v>
      </c>
      <c r="B508" t="s">
        <v>1475</v>
      </c>
      <c r="C508">
        <v>2024</v>
      </c>
      <c r="D508" t="s">
        <v>1449</v>
      </c>
      <c r="E508">
        <v>1</v>
      </c>
      <c r="F508" t="s">
        <v>1139</v>
      </c>
      <c r="G508" t="s">
        <v>1476</v>
      </c>
      <c r="H508" t="s">
        <v>493</v>
      </c>
      <c r="I508" t="s">
        <v>1477</v>
      </c>
      <c r="J508" t="s">
        <v>50</v>
      </c>
      <c r="K508">
        <v>10.5</v>
      </c>
      <c r="L508">
        <v>9.4</v>
      </c>
      <c r="M508">
        <v>5.0999999999999996</v>
      </c>
      <c r="N508">
        <v>9869</v>
      </c>
      <c r="O508">
        <v>48665</v>
      </c>
      <c r="P508">
        <v>5.0999999999999996</v>
      </c>
      <c r="Q508">
        <v>222</v>
      </c>
      <c r="R508">
        <v>14.3</v>
      </c>
      <c r="S508">
        <v>1.89</v>
      </c>
      <c r="T508" t="s">
        <v>77</v>
      </c>
      <c r="U508">
        <v>59744</v>
      </c>
      <c r="V508">
        <v>1</v>
      </c>
      <c r="W508">
        <v>1</v>
      </c>
      <c r="X508">
        <v>1497</v>
      </c>
      <c r="Y508">
        <v>35.9</v>
      </c>
      <c r="Z508" t="s">
        <v>59</v>
      </c>
      <c r="AA508">
        <v>49</v>
      </c>
      <c r="AB508">
        <v>51</v>
      </c>
      <c r="AC508" t="s">
        <v>53</v>
      </c>
      <c r="AD508">
        <v>46898</v>
      </c>
      <c r="AE508">
        <v>25436</v>
      </c>
      <c r="AF508">
        <v>1201.25</v>
      </c>
      <c r="AG508">
        <v>2</v>
      </c>
      <c r="AH508">
        <v>1048</v>
      </c>
      <c r="AI508">
        <v>30.1295</v>
      </c>
      <c r="AJ508">
        <v>19.71</v>
      </c>
      <c r="AK508">
        <v>18.72</v>
      </c>
      <c r="AL508">
        <v>0.5</v>
      </c>
      <c r="AM508">
        <v>951</v>
      </c>
      <c r="AN508">
        <v>32.17</v>
      </c>
      <c r="AO508">
        <v>8.7799999999999994</v>
      </c>
      <c r="AP508">
        <v>35.9</v>
      </c>
      <c r="AQ508">
        <v>1</v>
      </c>
    </row>
    <row r="509" spans="1:43" x14ac:dyDescent="0.3">
      <c r="A509">
        <v>508</v>
      </c>
      <c r="B509" t="s">
        <v>1478</v>
      </c>
      <c r="C509">
        <v>2024</v>
      </c>
      <c r="D509" t="s">
        <v>1449</v>
      </c>
      <c r="E509">
        <v>25</v>
      </c>
      <c r="F509" t="s">
        <v>1139</v>
      </c>
      <c r="G509" t="s">
        <v>775</v>
      </c>
      <c r="H509" t="s">
        <v>100</v>
      </c>
      <c r="I509" t="s">
        <v>1479</v>
      </c>
      <c r="J509" t="s">
        <v>50</v>
      </c>
      <c r="K509">
        <v>6</v>
      </c>
      <c r="L509">
        <v>9</v>
      </c>
      <c r="M509">
        <v>17.399999999999999</v>
      </c>
      <c r="N509">
        <v>2072</v>
      </c>
      <c r="O509">
        <v>11037</v>
      </c>
      <c r="P509">
        <v>17.399999999999999</v>
      </c>
      <c r="Q509">
        <v>99</v>
      </c>
      <c r="R509">
        <v>10.9</v>
      </c>
      <c r="S509">
        <v>1.83</v>
      </c>
      <c r="T509" t="s">
        <v>51</v>
      </c>
      <c r="U509">
        <v>20494</v>
      </c>
      <c r="V509">
        <v>0</v>
      </c>
      <c r="W509">
        <v>0</v>
      </c>
      <c r="X509">
        <v>1132</v>
      </c>
      <c r="Y509">
        <v>42.7</v>
      </c>
      <c r="Z509" t="s">
        <v>1480</v>
      </c>
      <c r="AA509">
        <v>24</v>
      </c>
      <c r="AB509">
        <v>76</v>
      </c>
      <c r="AC509" t="s">
        <v>53</v>
      </c>
      <c r="AD509">
        <v>12386</v>
      </c>
      <c r="AE509">
        <v>6915</v>
      </c>
      <c r="AF509">
        <v>1036.01</v>
      </c>
      <c r="AG509">
        <v>6</v>
      </c>
      <c r="AH509">
        <v>486</v>
      </c>
      <c r="AI509">
        <v>33.59258333333333</v>
      </c>
      <c r="AJ509">
        <v>26.97</v>
      </c>
      <c r="AK509">
        <v>32.47</v>
      </c>
      <c r="AL509">
        <v>4.6900000000000004</v>
      </c>
      <c r="AM509">
        <v>951</v>
      </c>
      <c r="AN509">
        <v>32.17</v>
      </c>
      <c r="AO509">
        <v>14.8</v>
      </c>
      <c r="AP509">
        <v>42.7</v>
      </c>
      <c r="AQ509">
        <v>0</v>
      </c>
    </row>
    <row r="510" spans="1:43" x14ac:dyDescent="0.3">
      <c r="A510">
        <v>509</v>
      </c>
      <c r="B510" t="s">
        <v>1481</v>
      </c>
      <c r="C510">
        <v>2024</v>
      </c>
      <c r="D510" t="s">
        <v>1449</v>
      </c>
      <c r="E510">
        <v>10</v>
      </c>
      <c r="F510" t="s">
        <v>1139</v>
      </c>
      <c r="G510" t="s">
        <v>492</v>
      </c>
      <c r="H510" t="s">
        <v>493</v>
      </c>
      <c r="I510" t="s">
        <v>494</v>
      </c>
      <c r="J510" t="s">
        <v>50</v>
      </c>
      <c r="K510">
        <v>8.4</v>
      </c>
      <c r="L510">
        <v>7.8</v>
      </c>
      <c r="M510">
        <v>15.1</v>
      </c>
      <c r="N510">
        <v>9305</v>
      </c>
      <c r="O510">
        <v>54199</v>
      </c>
      <c r="P510">
        <v>15.1</v>
      </c>
      <c r="Q510">
        <v>241</v>
      </c>
      <c r="R510">
        <v>18</v>
      </c>
      <c r="S510">
        <v>3.85</v>
      </c>
      <c r="T510" t="s">
        <v>51</v>
      </c>
      <c r="U510">
        <v>24605</v>
      </c>
      <c r="V510">
        <v>6</v>
      </c>
      <c r="W510">
        <v>4</v>
      </c>
      <c r="X510">
        <v>785</v>
      </c>
      <c r="Y510">
        <v>36.700000000000003</v>
      </c>
      <c r="Z510" t="s">
        <v>138</v>
      </c>
      <c r="AA510">
        <v>63</v>
      </c>
      <c r="AB510">
        <v>37</v>
      </c>
      <c r="AC510" t="s">
        <v>53</v>
      </c>
      <c r="AD510">
        <v>19392</v>
      </c>
      <c r="AE510">
        <v>5039</v>
      </c>
      <c r="AF510">
        <v>773.03</v>
      </c>
      <c r="AG510">
        <v>8</v>
      </c>
      <c r="AH510">
        <v>167</v>
      </c>
      <c r="AI510">
        <v>43.070812500000002</v>
      </c>
      <c r="AJ510">
        <v>26.92</v>
      </c>
      <c r="AK510">
        <v>35.4</v>
      </c>
      <c r="AL510">
        <v>8.7799999999999994</v>
      </c>
      <c r="AM510">
        <v>951</v>
      </c>
      <c r="AN510">
        <v>32.17</v>
      </c>
      <c r="AO510">
        <v>16.260000000000002</v>
      </c>
      <c r="AP510">
        <v>36.700000000000003</v>
      </c>
      <c r="AQ510">
        <v>6</v>
      </c>
    </row>
    <row r="511" spans="1:43" x14ac:dyDescent="0.3">
      <c r="A511">
        <v>510</v>
      </c>
      <c r="B511" t="s">
        <v>1482</v>
      </c>
      <c r="C511">
        <v>2024</v>
      </c>
      <c r="D511" t="s">
        <v>1449</v>
      </c>
      <c r="E511">
        <v>36</v>
      </c>
      <c r="F511" t="s">
        <v>1139</v>
      </c>
      <c r="G511" t="s">
        <v>131</v>
      </c>
      <c r="H511" t="s">
        <v>100</v>
      </c>
      <c r="I511" t="s">
        <v>1374</v>
      </c>
      <c r="J511" t="s">
        <v>50</v>
      </c>
      <c r="K511">
        <v>9.6</v>
      </c>
      <c r="L511">
        <v>18.3</v>
      </c>
      <c r="M511">
        <v>8.3000000000000007</v>
      </c>
      <c r="N511">
        <v>3295</v>
      </c>
      <c r="O511">
        <v>673</v>
      </c>
      <c r="P511">
        <v>8.3000000000000007</v>
      </c>
      <c r="Q511">
        <v>105</v>
      </c>
      <c r="R511">
        <v>1001</v>
      </c>
      <c r="S511">
        <v>0.88552631578947372</v>
      </c>
      <c r="T511" t="s">
        <v>58</v>
      </c>
      <c r="U511">
        <v>9649</v>
      </c>
      <c r="V511">
        <v>8</v>
      </c>
      <c r="W511">
        <v>8</v>
      </c>
      <c r="X511">
        <v>760</v>
      </c>
      <c r="Y511">
        <v>13.4</v>
      </c>
      <c r="Z511" t="s">
        <v>350</v>
      </c>
      <c r="AA511">
        <v>28</v>
      </c>
      <c r="AB511">
        <v>72</v>
      </c>
      <c r="AC511" t="s">
        <v>53</v>
      </c>
      <c r="AD511">
        <v>7192</v>
      </c>
      <c r="AE511">
        <v>2267</v>
      </c>
      <c r="AF511">
        <v>1349.57</v>
      </c>
      <c r="AG511">
        <v>37</v>
      </c>
      <c r="AH511">
        <v>29</v>
      </c>
      <c r="AI511">
        <v>35.237824324324329</v>
      </c>
      <c r="AJ511">
        <v>25.61</v>
      </c>
      <c r="AK511">
        <v>22.27</v>
      </c>
      <c r="AL511">
        <v>5.48</v>
      </c>
      <c r="AM511">
        <v>951</v>
      </c>
      <c r="AN511">
        <v>32.17</v>
      </c>
      <c r="AO511">
        <v>405.38</v>
      </c>
      <c r="AP511">
        <v>13.4</v>
      </c>
      <c r="AQ511">
        <v>8</v>
      </c>
    </row>
    <row r="512" spans="1:43" x14ac:dyDescent="0.3">
      <c r="A512">
        <v>511</v>
      </c>
      <c r="B512" t="s">
        <v>1483</v>
      </c>
      <c r="C512">
        <v>2024</v>
      </c>
      <c r="D512" t="s">
        <v>1484</v>
      </c>
      <c r="E512">
        <v>6</v>
      </c>
      <c r="F512" t="s">
        <v>1139</v>
      </c>
      <c r="G512" t="s">
        <v>834</v>
      </c>
      <c r="H512" t="s">
        <v>48</v>
      </c>
      <c r="I512" t="s">
        <v>834</v>
      </c>
      <c r="J512" t="s">
        <v>65</v>
      </c>
      <c r="K512">
        <v>6.9</v>
      </c>
      <c r="L512">
        <v>3.7</v>
      </c>
      <c r="M512">
        <v>24.6</v>
      </c>
      <c r="N512">
        <v>7091</v>
      </c>
      <c r="O512">
        <v>541</v>
      </c>
      <c r="P512">
        <v>24.6</v>
      </c>
      <c r="Q512">
        <v>181</v>
      </c>
      <c r="R512">
        <v>741</v>
      </c>
      <c r="S512">
        <v>3.35</v>
      </c>
      <c r="T512" t="s">
        <v>96</v>
      </c>
      <c r="U512">
        <v>32155</v>
      </c>
      <c r="V512">
        <v>5</v>
      </c>
      <c r="W512">
        <v>3</v>
      </c>
      <c r="X512">
        <v>2117</v>
      </c>
      <c r="Y512">
        <v>32.6</v>
      </c>
      <c r="Z512" t="s">
        <v>87</v>
      </c>
      <c r="AA512">
        <v>54</v>
      </c>
      <c r="AB512">
        <v>46</v>
      </c>
      <c r="AC512" t="s">
        <v>53</v>
      </c>
      <c r="AD512">
        <v>23289</v>
      </c>
      <c r="AE512">
        <v>10033</v>
      </c>
      <c r="AF512">
        <v>1152.18</v>
      </c>
      <c r="AG512">
        <v>8</v>
      </c>
      <c r="AH512">
        <v>521</v>
      </c>
      <c r="AI512">
        <v>35.509249999999987</v>
      </c>
      <c r="AJ512">
        <v>26.59</v>
      </c>
      <c r="AK512">
        <v>34.58</v>
      </c>
      <c r="AL512">
        <v>5.27</v>
      </c>
      <c r="AM512">
        <v>1001</v>
      </c>
      <c r="AN512">
        <v>28.59</v>
      </c>
      <c r="AO512">
        <v>311.16000000000003</v>
      </c>
      <c r="AP512">
        <v>32.6</v>
      </c>
      <c r="AQ512">
        <v>5</v>
      </c>
    </row>
    <row r="513" spans="1:43" x14ac:dyDescent="0.3">
      <c r="A513">
        <v>512</v>
      </c>
      <c r="B513" t="s">
        <v>1485</v>
      </c>
      <c r="C513">
        <v>2024</v>
      </c>
      <c r="D513" t="s">
        <v>1484</v>
      </c>
      <c r="E513">
        <v>24</v>
      </c>
      <c r="F513" t="s">
        <v>1139</v>
      </c>
      <c r="G513" t="s">
        <v>590</v>
      </c>
      <c r="H513" t="s">
        <v>100</v>
      </c>
      <c r="I513" t="s">
        <v>1486</v>
      </c>
      <c r="J513" t="s">
        <v>50</v>
      </c>
      <c r="K513">
        <v>9.6999999999999993</v>
      </c>
      <c r="L513">
        <v>2.5</v>
      </c>
      <c r="M513">
        <v>10.199999999999999</v>
      </c>
      <c r="N513">
        <v>5795</v>
      </c>
      <c r="O513">
        <v>61496</v>
      </c>
      <c r="P513">
        <v>10.199999999999999</v>
      </c>
      <c r="Q513">
        <v>257</v>
      </c>
      <c r="R513">
        <v>38.6</v>
      </c>
      <c r="S513">
        <v>3.55</v>
      </c>
      <c r="T513" t="s">
        <v>58</v>
      </c>
      <c r="U513">
        <v>20428</v>
      </c>
      <c r="V513">
        <v>1</v>
      </c>
      <c r="W513">
        <v>1</v>
      </c>
      <c r="X513">
        <v>1535</v>
      </c>
      <c r="Y513">
        <v>12</v>
      </c>
      <c r="Z513" t="s">
        <v>124</v>
      </c>
      <c r="AA513">
        <v>39</v>
      </c>
      <c r="AB513">
        <v>61</v>
      </c>
      <c r="AC513" t="s">
        <v>53</v>
      </c>
      <c r="AD513">
        <v>15188</v>
      </c>
      <c r="AE513">
        <v>6035</v>
      </c>
      <c r="AF513">
        <v>1100.42</v>
      </c>
      <c r="AG513">
        <v>16</v>
      </c>
      <c r="AH513">
        <v>218</v>
      </c>
      <c r="AI513">
        <v>38.128875000000001</v>
      </c>
      <c r="AJ513">
        <v>27.22</v>
      </c>
      <c r="AK513">
        <v>36.06</v>
      </c>
      <c r="AL513">
        <v>6.8</v>
      </c>
      <c r="AM513">
        <v>1001</v>
      </c>
      <c r="AN513">
        <v>28.59</v>
      </c>
      <c r="AO513">
        <v>21.56</v>
      </c>
      <c r="AP513">
        <v>12</v>
      </c>
      <c r="AQ513">
        <v>1</v>
      </c>
    </row>
    <row r="514" spans="1:43" x14ac:dyDescent="0.3">
      <c r="A514">
        <v>513</v>
      </c>
      <c r="B514" t="s">
        <v>1487</v>
      </c>
      <c r="C514">
        <v>2024</v>
      </c>
      <c r="D514" t="s">
        <v>1484</v>
      </c>
      <c r="E514">
        <v>64</v>
      </c>
      <c r="F514" t="s">
        <v>1139</v>
      </c>
      <c r="G514" t="s">
        <v>590</v>
      </c>
      <c r="H514" t="s">
        <v>100</v>
      </c>
      <c r="I514" t="s">
        <v>1488</v>
      </c>
      <c r="J514" t="s">
        <v>65</v>
      </c>
      <c r="K514">
        <v>8.5</v>
      </c>
      <c r="L514">
        <v>7.6</v>
      </c>
      <c r="M514">
        <v>5.9</v>
      </c>
      <c r="N514">
        <v>5707</v>
      </c>
      <c r="O514">
        <v>12208</v>
      </c>
      <c r="P514">
        <v>5.9</v>
      </c>
      <c r="Q514">
        <v>121</v>
      </c>
      <c r="R514">
        <v>12.7</v>
      </c>
      <c r="S514">
        <v>3.81</v>
      </c>
      <c r="T514" t="s">
        <v>58</v>
      </c>
      <c r="U514">
        <v>30989</v>
      </c>
      <c r="V514">
        <v>7</v>
      </c>
      <c r="W514">
        <v>21.87631296</v>
      </c>
      <c r="X514">
        <v>2236</v>
      </c>
      <c r="Y514">
        <v>17.100000000000001</v>
      </c>
      <c r="Z514" t="s">
        <v>185</v>
      </c>
      <c r="AA514">
        <v>40.579631499999998</v>
      </c>
      <c r="AB514">
        <v>59.420368500000002</v>
      </c>
      <c r="AC514" t="s">
        <v>53</v>
      </c>
      <c r="AD514">
        <v>13732</v>
      </c>
      <c r="AE514">
        <v>12350</v>
      </c>
      <c r="AF514">
        <v>1100.42</v>
      </c>
      <c r="AG514">
        <v>16</v>
      </c>
      <c r="AH514">
        <v>218</v>
      </c>
      <c r="AI514">
        <v>38.128875000000001</v>
      </c>
      <c r="AJ514">
        <v>27.22</v>
      </c>
      <c r="AK514">
        <v>36.06</v>
      </c>
      <c r="AL514">
        <v>6.8</v>
      </c>
      <c r="AM514">
        <v>1001</v>
      </c>
      <c r="AN514">
        <v>28.59</v>
      </c>
      <c r="AO514">
        <v>8.6199999999999992</v>
      </c>
      <c r="AP514">
        <v>17.100000000000001</v>
      </c>
      <c r="AQ514">
        <v>7</v>
      </c>
    </row>
    <row r="515" spans="1:43" x14ac:dyDescent="0.3">
      <c r="A515">
        <v>514</v>
      </c>
      <c r="B515" t="s">
        <v>1489</v>
      </c>
      <c r="C515">
        <v>2024</v>
      </c>
      <c r="D515" t="s">
        <v>1484</v>
      </c>
      <c r="E515">
        <v>77</v>
      </c>
      <c r="F515" t="s">
        <v>1139</v>
      </c>
      <c r="G515" t="s">
        <v>590</v>
      </c>
      <c r="H515" t="s">
        <v>100</v>
      </c>
      <c r="I515" t="s">
        <v>1490</v>
      </c>
      <c r="J515" t="s">
        <v>65</v>
      </c>
      <c r="K515">
        <v>4.8</v>
      </c>
      <c r="L515">
        <v>4.0999999999999996</v>
      </c>
      <c r="M515">
        <v>5.2</v>
      </c>
      <c r="N515">
        <v>3479</v>
      </c>
      <c r="O515">
        <v>10735</v>
      </c>
      <c r="P515">
        <v>5.2</v>
      </c>
      <c r="Q515">
        <v>114</v>
      </c>
      <c r="R515">
        <v>8.8000000000000007</v>
      </c>
      <c r="S515">
        <v>3.57</v>
      </c>
      <c r="T515" t="s">
        <v>51</v>
      </c>
      <c r="U515">
        <v>22085</v>
      </c>
      <c r="V515">
        <v>5</v>
      </c>
      <c r="W515">
        <v>29.678508170000001</v>
      </c>
      <c r="X515">
        <v>1696</v>
      </c>
      <c r="Y515">
        <v>11.8</v>
      </c>
      <c r="Z515" t="s">
        <v>358</v>
      </c>
      <c r="AA515">
        <v>66.623453130000001</v>
      </c>
      <c r="AB515">
        <v>33.376546869999999</v>
      </c>
      <c r="AC515" t="s">
        <v>53</v>
      </c>
      <c r="AD515">
        <v>15583</v>
      </c>
      <c r="AE515">
        <v>3584</v>
      </c>
      <c r="AF515">
        <v>1100.42</v>
      </c>
      <c r="AG515">
        <v>16</v>
      </c>
      <c r="AH515">
        <v>218</v>
      </c>
      <c r="AI515">
        <v>38.128875000000001</v>
      </c>
      <c r="AJ515">
        <v>27.22</v>
      </c>
      <c r="AK515">
        <v>36.06</v>
      </c>
      <c r="AL515">
        <v>6.8</v>
      </c>
      <c r="AM515">
        <v>1001</v>
      </c>
      <c r="AN515">
        <v>28.59</v>
      </c>
      <c r="AO515">
        <v>6.64</v>
      </c>
      <c r="AP515">
        <v>11.8</v>
      </c>
      <c r="AQ515">
        <v>5</v>
      </c>
    </row>
    <row r="516" spans="1:43" x14ac:dyDescent="0.3">
      <c r="A516">
        <v>515</v>
      </c>
      <c r="B516" t="s">
        <v>1491</v>
      </c>
      <c r="C516">
        <v>2024</v>
      </c>
      <c r="D516" t="s">
        <v>1484</v>
      </c>
      <c r="E516">
        <v>2</v>
      </c>
      <c r="F516" t="s">
        <v>1139</v>
      </c>
      <c r="G516" t="s">
        <v>1492</v>
      </c>
      <c r="H516" t="s">
        <v>100</v>
      </c>
      <c r="I516" t="s">
        <v>1493</v>
      </c>
      <c r="J516" t="s">
        <v>50</v>
      </c>
      <c r="K516">
        <v>6.4</v>
      </c>
      <c r="L516">
        <v>16.5</v>
      </c>
      <c r="M516">
        <v>2.2000000000000002</v>
      </c>
      <c r="N516">
        <v>5844</v>
      </c>
      <c r="O516">
        <v>8425</v>
      </c>
      <c r="P516">
        <v>2.2000000000000002</v>
      </c>
      <c r="Q516">
        <v>99</v>
      </c>
      <c r="R516">
        <v>8.9</v>
      </c>
      <c r="S516">
        <v>3.27</v>
      </c>
      <c r="T516" t="s">
        <v>77</v>
      </c>
      <c r="U516">
        <v>24835</v>
      </c>
      <c r="V516">
        <v>11</v>
      </c>
      <c r="W516">
        <v>12</v>
      </c>
      <c r="X516">
        <v>1011</v>
      </c>
      <c r="Y516">
        <v>21.7</v>
      </c>
      <c r="Z516" t="s">
        <v>368</v>
      </c>
      <c r="AA516">
        <v>63</v>
      </c>
      <c r="AB516">
        <v>37</v>
      </c>
      <c r="AC516" t="s">
        <v>53</v>
      </c>
      <c r="AD516">
        <v>18384</v>
      </c>
      <c r="AE516">
        <v>7503</v>
      </c>
      <c r="AF516">
        <v>1169.25</v>
      </c>
      <c r="AG516">
        <v>1</v>
      </c>
      <c r="AH516">
        <v>1038</v>
      </c>
      <c r="AI516">
        <v>31.8155</v>
      </c>
      <c r="AJ516">
        <v>11.38</v>
      </c>
      <c r="AK516">
        <v>3.92</v>
      </c>
      <c r="AL516">
        <v>22.29</v>
      </c>
      <c r="AM516">
        <v>1001</v>
      </c>
      <c r="AN516">
        <v>28.59</v>
      </c>
      <c r="AO516">
        <v>4.88</v>
      </c>
      <c r="AP516">
        <v>21.7</v>
      </c>
      <c r="AQ516">
        <v>11</v>
      </c>
    </row>
    <row r="517" spans="1:43" x14ac:dyDescent="0.3">
      <c r="A517">
        <v>516</v>
      </c>
      <c r="B517" t="s">
        <v>1494</v>
      </c>
      <c r="C517">
        <v>2024</v>
      </c>
      <c r="D517" t="s">
        <v>1484</v>
      </c>
      <c r="E517">
        <v>11</v>
      </c>
      <c r="F517" t="s">
        <v>1139</v>
      </c>
      <c r="G517" t="s">
        <v>870</v>
      </c>
      <c r="H517" t="s">
        <v>493</v>
      </c>
      <c r="I517" t="s">
        <v>870</v>
      </c>
      <c r="J517" t="s">
        <v>50</v>
      </c>
      <c r="K517">
        <v>5.3</v>
      </c>
      <c r="L517">
        <v>5.8</v>
      </c>
      <c r="M517">
        <v>1.5</v>
      </c>
      <c r="N517">
        <v>1806</v>
      </c>
      <c r="O517">
        <v>3432</v>
      </c>
      <c r="P517">
        <v>1.5</v>
      </c>
      <c r="Q517">
        <v>64</v>
      </c>
      <c r="R517">
        <v>5</v>
      </c>
      <c r="S517">
        <v>0.97</v>
      </c>
      <c r="T517" t="s">
        <v>51</v>
      </c>
      <c r="U517">
        <v>37942</v>
      </c>
      <c r="V517">
        <v>10</v>
      </c>
      <c r="W517">
        <v>14</v>
      </c>
      <c r="X517">
        <v>1854</v>
      </c>
      <c r="Y517">
        <v>13.9</v>
      </c>
      <c r="Z517" t="s">
        <v>272</v>
      </c>
      <c r="AA517">
        <v>48</v>
      </c>
      <c r="AB517">
        <v>52</v>
      </c>
      <c r="AC517" t="s">
        <v>53</v>
      </c>
      <c r="AD517">
        <v>21596</v>
      </c>
      <c r="AE517">
        <v>10678</v>
      </c>
      <c r="AF517">
        <v>1164.33</v>
      </c>
      <c r="AG517">
        <v>7</v>
      </c>
      <c r="AH517">
        <v>818</v>
      </c>
      <c r="AI517">
        <v>31.523785714285712</v>
      </c>
      <c r="AJ517">
        <v>25.16</v>
      </c>
      <c r="AK517">
        <v>18.14</v>
      </c>
      <c r="AL517">
        <v>5.76</v>
      </c>
      <c r="AM517">
        <v>1001</v>
      </c>
      <c r="AN517">
        <v>28.59</v>
      </c>
      <c r="AO517">
        <v>2.9</v>
      </c>
      <c r="AP517">
        <v>13.9</v>
      </c>
      <c r="AQ517">
        <v>10</v>
      </c>
    </row>
    <row r="518" spans="1:43" x14ac:dyDescent="0.3">
      <c r="A518">
        <v>517</v>
      </c>
      <c r="B518" t="s">
        <v>1495</v>
      </c>
      <c r="C518">
        <v>2024</v>
      </c>
      <c r="D518" t="s">
        <v>1484</v>
      </c>
      <c r="E518">
        <v>1</v>
      </c>
      <c r="F518" t="s">
        <v>1139</v>
      </c>
      <c r="G518" t="s">
        <v>1496</v>
      </c>
      <c r="H518" t="s">
        <v>100</v>
      </c>
      <c r="I518" t="s">
        <v>1497</v>
      </c>
      <c r="J518" t="s">
        <v>50</v>
      </c>
      <c r="K518">
        <v>9.6</v>
      </c>
      <c r="L518">
        <v>3.2</v>
      </c>
      <c r="M518">
        <v>1.4</v>
      </c>
      <c r="N518">
        <v>3246</v>
      </c>
      <c r="O518">
        <v>3384</v>
      </c>
      <c r="P518">
        <v>1.4</v>
      </c>
      <c r="Q518">
        <v>59</v>
      </c>
      <c r="R518">
        <v>12</v>
      </c>
      <c r="S518">
        <v>1.97</v>
      </c>
      <c r="T518" t="s">
        <v>51</v>
      </c>
      <c r="U518">
        <v>23684</v>
      </c>
      <c r="V518">
        <v>2</v>
      </c>
      <c r="W518">
        <v>5</v>
      </c>
      <c r="X518">
        <v>2106</v>
      </c>
      <c r="Y518">
        <v>13.2</v>
      </c>
      <c r="Z518" t="s">
        <v>368</v>
      </c>
      <c r="AA518">
        <v>60</v>
      </c>
      <c r="AB518">
        <v>40</v>
      </c>
      <c r="AC518" t="s">
        <v>53</v>
      </c>
      <c r="AD518">
        <v>15088</v>
      </c>
      <c r="AE518">
        <v>4077</v>
      </c>
      <c r="AF518">
        <v>963</v>
      </c>
      <c r="AG518">
        <v>1</v>
      </c>
      <c r="AH518">
        <v>1790</v>
      </c>
      <c r="AI518">
        <v>16.013999999999999</v>
      </c>
      <c r="AJ518">
        <v>17.37</v>
      </c>
      <c r="AK518">
        <v>1.61</v>
      </c>
      <c r="AL518">
        <v>18.11</v>
      </c>
      <c r="AM518">
        <v>1001</v>
      </c>
      <c r="AN518">
        <v>28.59</v>
      </c>
      <c r="AO518">
        <v>5.64</v>
      </c>
      <c r="AP518">
        <v>13.2</v>
      </c>
      <c r="AQ518">
        <v>2</v>
      </c>
    </row>
    <row r="519" spans="1:43" x14ac:dyDescent="0.3">
      <c r="A519">
        <v>518</v>
      </c>
      <c r="B519" t="s">
        <v>1498</v>
      </c>
      <c r="C519">
        <v>2024</v>
      </c>
      <c r="D519" t="s">
        <v>1484</v>
      </c>
      <c r="E519">
        <v>10</v>
      </c>
      <c r="F519" t="s">
        <v>1139</v>
      </c>
      <c r="G519" t="s">
        <v>590</v>
      </c>
      <c r="H519" t="s">
        <v>100</v>
      </c>
      <c r="I519" t="s">
        <v>1499</v>
      </c>
      <c r="J519" t="s">
        <v>50</v>
      </c>
      <c r="K519">
        <v>12.1</v>
      </c>
      <c r="L519">
        <v>6.5</v>
      </c>
      <c r="M519">
        <v>7.8</v>
      </c>
      <c r="N519">
        <v>2664</v>
      </c>
      <c r="O519">
        <v>898</v>
      </c>
      <c r="P519">
        <v>7.8</v>
      </c>
      <c r="Q519">
        <v>83</v>
      </c>
      <c r="R519">
        <v>543</v>
      </c>
      <c r="S519">
        <v>0.16253393665158369</v>
      </c>
      <c r="T519" t="s">
        <v>71</v>
      </c>
      <c r="U519">
        <v>12620</v>
      </c>
      <c r="V519">
        <v>3</v>
      </c>
      <c r="W519">
        <v>4</v>
      </c>
      <c r="X519">
        <v>5525</v>
      </c>
      <c r="Y519">
        <v>8</v>
      </c>
      <c r="Z519" t="s">
        <v>510</v>
      </c>
      <c r="AA519">
        <v>49</v>
      </c>
      <c r="AB519">
        <v>51</v>
      </c>
      <c r="AC519" t="s">
        <v>53</v>
      </c>
      <c r="AD519">
        <v>8506</v>
      </c>
      <c r="AE519">
        <v>3941</v>
      </c>
      <c r="AF519">
        <v>1100.42</v>
      </c>
      <c r="AG519">
        <v>16</v>
      </c>
      <c r="AH519">
        <v>218</v>
      </c>
      <c r="AI519">
        <v>38.128875000000001</v>
      </c>
      <c r="AJ519">
        <v>27.22</v>
      </c>
      <c r="AK519">
        <v>36.06</v>
      </c>
      <c r="AL519">
        <v>6.8</v>
      </c>
      <c r="AM519">
        <v>1001</v>
      </c>
      <c r="AN519">
        <v>28.59</v>
      </c>
      <c r="AO519">
        <v>221.88</v>
      </c>
      <c r="AP519">
        <v>8</v>
      </c>
      <c r="AQ519">
        <v>3</v>
      </c>
    </row>
    <row r="520" spans="1:43" x14ac:dyDescent="0.3">
      <c r="A520">
        <v>519</v>
      </c>
      <c r="B520" t="s">
        <v>1500</v>
      </c>
      <c r="C520">
        <v>2024</v>
      </c>
      <c r="D520" t="s">
        <v>1484</v>
      </c>
      <c r="E520">
        <v>153</v>
      </c>
      <c r="F520" t="s">
        <v>1139</v>
      </c>
      <c r="G520" t="s">
        <v>63</v>
      </c>
      <c r="H520" t="s">
        <v>64</v>
      </c>
      <c r="I520" t="s">
        <v>1501</v>
      </c>
      <c r="J520" t="s">
        <v>65</v>
      </c>
      <c r="K520">
        <v>6.1</v>
      </c>
      <c r="L520">
        <v>16.8</v>
      </c>
      <c r="M520">
        <v>8.3000000000000007</v>
      </c>
      <c r="N520">
        <v>3328</v>
      </c>
      <c r="O520">
        <v>363</v>
      </c>
      <c r="P520">
        <v>8.3000000000000007</v>
      </c>
      <c r="Q520">
        <v>95</v>
      </c>
      <c r="R520">
        <v>787</v>
      </c>
      <c r="S520">
        <v>0.28052550231839252</v>
      </c>
      <c r="T520" t="s">
        <v>71</v>
      </c>
      <c r="U520">
        <v>20859</v>
      </c>
      <c r="V520">
        <v>6</v>
      </c>
      <c r="W520">
        <v>6</v>
      </c>
      <c r="X520">
        <v>1294</v>
      </c>
      <c r="Y520">
        <v>19</v>
      </c>
      <c r="Z520" t="s">
        <v>138</v>
      </c>
      <c r="AA520">
        <v>61</v>
      </c>
      <c r="AB520">
        <v>39</v>
      </c>
      <c r="AC520" t="s">
        <v>53</v>
      </c>
      <c r="AD520">
        <v>12911</v>
      </c>
      <c r="AE520">
        <v>8185</v>
      </c>
      <c r="AF520">
        <v>647.61</v>
      </c>
      <c r="AG520">
        <v>98</v>
      </c>
      <c r="AH520">
        <v>2</v>
      </c>
      <c r="AI520">
        <v>56.843244897959181</v>
      </c>
      <c r="AJ520">
        <v>29.74</v>
      </c>
      <c r="AK520">
        <v>38.11</v>
      </c>
      <c r="AL520">
        <v>19.260000000000002</v>
      </c>
      <c r="AM520">
        <v>1001</v>
      </c>
      <c r="AN520">
        <v>28.59</v>
      </c>
      <c r="AO520">
        <v>319.77999999999997</v>
      </c>
      <c r="AP520">
        <v>19</v>
      </c>
      <c r="AQ520">
        <v>6</v>
      </c>
    </row>
    <row r="521" spans="1:43" x14ac:dyDescent="0.3">
      <c r="A521">
        <v>520</v>
      </c>
      <c r="B521" t="s">
        <v>1502</v>
      </c>
      <c r="C521">
        <v>2024</v>
      </c>
      <c r="D521" t="s">
        <v>1484</v>
      </c>
      <c r="E521">
        <v>10</v>
      </c>
      <c r="F521" t="s">
        <v>1139</v>
      </c>
      <c r="G521" t="s">
        <v>1235</v>
      </c>
      <c r="H521" t="s">
        <v>100</v>
      </c>
      <c r="I521" t="s">
        <v>1236</v>
      </c>
      <c r="J521" t="s">
        <v>65</v>
      </c>
      <c r="K521">
        <v>10.6</v>
      </c>
      <c r="L521">
        <v>29.1</v>
      </c>
      <c r="M521">
        <v>1.9</v>
      </c>
      <c r="N521">
        <v>3033</v>
      </c>
      <c r="O521">
        <v>3977</v>
      </c>
      <c r="P521">
        <v>1.9</v>
      </c>
      <c r="Q521">
        <v>59</v>
      </c>
      <c r="R521">
        <v>9.1999999999999993</v>
      </c>
      <c r="S521">
        <v>2.76</v>
      </c>
      <c r="T521" t="s">
        <v>71</v>
      </c>
      <c r="U521">
        <v>13027</v>
      </c>
      <c r="V521">
        <v>1</v>
      </c>
      <c r="W521">
        <v>1</v>
      </c>
      <c r="X521">
        <v>730</v>
      </c>
      <c r="Y521">
        <v>16.899999999999999</v>
      </c>
      <c r="Z521" t="s">
        <v>510</v>
      </c>
      <c r="AA521">
        <v>45</v>
      </c>
      <c r="AB521">
        <v>55</v>
      </c>
      <c r="AC521" t="s">
        <v>53</v>
      </c>
      <c r="AD521">
        <v>13052</v>
      </c>
      <c r="AE521">
        <v>4183</v>
      </c>
      <c r="AF521">
        <v>1222.8800000000001</v>
      </c>
      <c r="AG521">
        <v>7</v>
      </c>
      <c r="AH521">
        <v>855</v>
      </c>
      <c r="AI521">
        <v>30.616428571428571</v>
      </c>
      <c r="AJ521">
        <v>19.73</v>
      </c>
      <c r="AK521">
        <v>18.03</v>
      </c>
      <c r="AL521">
        <v>4.42</v>
      </c>
      <c r="AM521">
        <v>1001</v>
      </c>
      <c r="AN521">
        <v>28.59</v>
      </c>
      <c r="AO521">
        <v>4.82</v>
      </c>
      <c r="AP521">
        <v>16.899999999999999</v>
      </c>
      <c r="AQ521">
        <v>1</v>
      </c>
    </row>
    <row r="522" spans="1:43" x14ac:dyDescent="0.3">
      <c r="A522">
        <v>521</v>
      </c>
      <c r="B522" t="s">
        <v>1503</v>
      </c>
      <c r="C522">
        <v>2024</v>
      </c>
      <c r="D522" t="s">
        <v>1484</v>
      </c>
      <c r="E522">
        <v>113</v>
      </c>
      <c r="F522" t="s">
        <v>1139</v>
      </c>
      <c r="G522" t="s">
        <v>47</v>
      </c>
      <c r="H522" t="s">
        <v>48</v>
      </c>
      <c r="I522" t="s">
        <v>1504</v>
      </c>
      <c r="J522" t="s">
        <v>50</v>
      </c>
      <c r="K522">
        <v>5.7</v>
      </c>
      <c r="L522">
        <v>2.1</v>
      </c>
      <c r="M522">
        <v>4.0999999999999996</v>
      </c>
      <c r="N522">
        <v>3852</v>
      </c>
      <c r="O522">
        <v>9099</v>
      </c>
      <c r="P522">
        <v>4.0999999999999996</v>
      </c>
      <c r="Q522">
        <v>90</v>
      </c>
      <c r="R522">
        <v>6.8</v>
      </c>
      <c r="S522">
        <v>2.88</v>
      </c>
      <c r="T522" t="s">
        <v>96</v>
      </c>
      <c r="U522">
        <v>11155</v>
      </c>
      <c r="V522">
        <v>15</v>
      </c>
      <c r="W522">
        <v>55</v>
      </c>
      <c r="X522">
        <v>674</v>
      </c>
      <c r="Y522">
        <v>20.100000000000001</v>
      </c>
      <c r="Z522" t="s">
        <v>859</v>
      </c>
      <c r="AA522">
        <v>57</v>
      </c>
      <c r="AB522">
        <v>43</v>
      </c>
      <c r="AC522" t="s">
        <v>53</v>
      </c>
      <c r="AD522">
        <v>15183</v>
      </c>
      <c r="AE522">
        <v>8212</v>
      </c>
      <c r="AF522">
        <v>614.48</v>
      </c>
      <c r="AG522">
        <v>69</v>
      </c>
      <c r="AH522">
        <v>1</v>
      </c>
      <c r="AI522">
        <v>50.817340579710141</v>
      </c>
      <c r="AJ522">
        <v>35.82</v>
      </c>
      <c r="AK522">
        <v>38.92</v>
      </c>
      <c r="AL522">
        <v>35.29</v>
      </c>
      <c r="AM522">
        <v>1001</v>
      </c>
      <c r="AN522">
        <v>28.59</v>
      </c>
      <c r="AO522">
        <v>5.18</v>
      </c>
      <c r="AP522">
        <v>20.100000000000001</v>
      </c>
      <c r="AQ522">
        <v>15</v>
      </c>
    </row>
    <row r="523" spans="1:43" x14ac:dyDescent="0.3">
      <c r="A523">
        <v>522</v>
      </c>
      <c r="B523" t="s">
        <v>1505</v>
      </c>
      <c r="C523">
        <v>2024</v>
      </c>
      <c r="D523" t="s">
        <v>1484</v>
      </c>
      <c r="E523">
        <v>17</v>
      </c>
      <c r="F523" t="s">
        <v>1139</v>
      </c>
      <c r="G523" t="s">
        <v>239</v>
      </c>
      <c r="H523" t="s">
        <v>100</v>
      </c>
      <c r="I523" t="s">
        <v>1147</v>
      </c>
      <c r="J523" t="s">
        <v>50</v>
      </c>
      <c r="K523">
        <v>5.8</v>
      </c>
      <c r="L523">
        <v>5.2</v>
      </c>
      <c r="M523">
        <v>15.1</v>
      </c>
      <c r="N523">
        <v>1360</v>
      </c>
      <c r="O523">
        <v>898</v>
      </c>
      <c r="P523">
        <v>15.1</v>
      </c>
      <c r="Q523">
        <v>108</v>
      </c>
      <c r="R523">
        <v>924</v>
      </c>
      <c r="S523">
        <v>1.2352132049518569</v>
      </c>
      <c r="T523" t="s">
        <v>96</v>
      </c>
      <c r="U523">
        <v>15939</v>
      </c>
      <c r="V523">
        <v>7</v>
      </c>
      <c r="W523">
        <v>8</v>
      </c>
      <c r="X523">
        <v>727</v>
      </c>
      <c r="Y523">
        <v>33.5</v>
      </c>
      <c r="Z523" t="s">
        <v>102</v>
      </c>
      <c r="AA523">
        <v>47</v>
      </c>
      <c r="AB523">
        <v>53</v>
      </c>
      <c r="AC523" t="s">
        <v>53</v>
      </c>
      <c r="AD523">
        <v>10390</v>
      </c>
      <c r="AE523">
        <v>4286</v>
      </c>
      <c r="AF523">
        <v>1161.4000000000001</v>
      </c>
      <c r="AG523">
        <v>22</v>
      </c>
      <c r="AH523">
        <v>154</v>
      </c>
      <c r="AI523">
        <v>33.419431818181813</v>
      </c>
      <c r="AJ523">
        <v>25.98</v>
      </c>
      <c r="AK523">
        <v>28.31</v>
      </c>
      <c r="AL523">
        <v>8.91</v>
      </c>
      <c r="AM523">
        <v>1001</v>
      </c>
      <c r="AN523">
        <v>28.59</v>
      </c>
      <c r="AO523">
        <v>378.66</v>
      </c>
      <c r="AP523">
        <v>33.5</v>
      </c>
      <c r="AQ523">
        <v>7</v>
      </c>
    </row>
    <row r="524" spans="1:43" x14ac:dyDescent="0.3">
      <c r="A524">
        <v>523</v>
      </c>
      <c r="B524" t="s">
        <v>1506</v>
      </c>
      <c r="C524">
        <v>2024</v>
      </c>
      <c r="D524" t="s">
        <v>1484</v>
      </c>
      <c r="E524">
        <v>28</v>
      </c>
      <c r="F524" t="s">
        <v>1139</v>
      </c>
      <c r="G524" t="s">
        <v>161</v>
      </c>
      <c r="H524" t="s">
        <v>100</v>
      </c>
      <c r="I524" t="s">
        <v>1507</v>
      </c>
      <c r="J524" t="s">
        <v>50</v>
      </c>
      <c r="K524">
        <v>5.4</v>
      </c>
      <c r="L524">
        <v>2.8</v>
      </c>
      <c r="M524">
        <v>8.6</v>
      </c>
      <c r="N524">
        <v>3403</v>
      </c>
      <c r="O524">
        <v>898</v>
      </c>
      <c r="P524">
        <v>8.6</v>
      </c>
      <c r="Q524">
        <v>104</v>
      </c>
      <c r="R524">
        <v>633</v>
      </c>
      <c r="S524">
        <v>0.67824773413897277</v>
      </c>
      <c r="T524" t="s">
        <v>51</v>
      </c>
      <c r="U524">
        <v>17075</v>
      </c>
      <c r="V524">
        <v>5</v>
      </c>
      <c r="W524">
        <v>11</v>
      </c>
      <c r="X524">
        <v>1324</v>
      </c>
      <c r="Y524">
        <v>14</v>
      </c>
      <c r="Z524" t="s">
        <v>197</v>
      </c>
      <c r="AA524">
        <v>43</v>
      </c>
      <c r="AB524">
        <v>57</v>
      </c>
      <c r="AC524" t="s">
        <v>53</v>
      </c>
      <c r="AD524">
        <v>7706</v>
      </c>
      <c r="AE524">
        <v>3568</v>
      </c>
      <c r="AF524">
        <v>682.03</v>
      </c>
      <c r="AG524">
        <v>18</v>
      </c>
      <c r="AH524">
        <v>62</v>
      </c>
      <c r="AI524">
        <v>43.175027777777778</v>
      </c>
      <c r="AJ524">
        <v>22.69</v>
      </c>
      <c r="AK524">
        <v>33</v>
      </c>
      <c r="AL524">
        <v>15.2</v>
      </c>
      <c r="AM524">
        <v>1001</v>
      </c>
      <c r="AN524">
        <v>28.59</v>
      </c>
      <c r="AO524">
        <v>258.36</v>
      </c>
      <c r="AP524">
        <v>14</v>
      </c>
      <c r="AQ524">
        <v>5</v>
      </c>
    </row>
    <row r="525" spans="1:43" x14ac:dyDescent="0.3">
      <c r="A525">
        <v>524</v>
      </c>
      <c r="B525" t="s">
        <v>1508</v>
      </c>
      <c r="C525">
        <v>2024</v>
      </c>
      <c r="D525" t="s">
        <v>1484</v>
      </c>
      <c r="E525">
        <v>47</v>
      </c>
      <c r="F525" t="s">
        <v>1139</v>
      </c>
      <c r="G525" t="s">
        <v>131</v>
      </c>
      <c r="H525" t="s">
        <v>100</v>
      </c>
      <c r="I525" t="s">
        <v>177</v>
      </c>
      <c r="J525" t="s">
        <v>65</v>
      </c>
      <c r="K525">
        <v>9</v>
      </c>
      <c r="L525">
        <v>13.7</v>
      </c>
      <c r="M525">
        <v>2.1</v>
      </c>
      <c r="N525">
        <v>3436</v>
      </c>
      <c r="O525">
        <v>2708</v>
      </c>
      <c r="P525">
        <v>2.1</v>
      </c>
      <c r="Q525">
        <v>45</v>
      </c>
      <c r="R525">
        <v>6.8</v>
      </c>
      <c r="S525">
        <v>1.97</v>
      </c>
      <c r="T525" t="s">
        <v>77</v>
      </c>
      <c r="U525">
        <v>27624</v>
      </c>
      <c r="V525">
        <v>4</v>
      </c>
      <c r="W525">
        <v>4</v>
      </c>
      <c r="X525">
        <v>1441</v>
      </c>
      <c r="Y525">
        <v>18.600000000000001</v>
      </c>
      <c r="Z525" t="s">
        <v>78</v>
      </c>
      <c r="AA525">
        <v>42</v>
      </c>
      <c r="AB525">
        <v>58</v>
      </c>
      <c r="AC525" t="s">
        <v>53</v>
      </c>
      <c r="AD525">
        <v>17913</v>
      </c>
      <c r="AE525">
        <v>8802</v>
      </c>
      <c r="AF525">
        <v>1349.57</v>
      </c>
      <c r="AG525">
        <v>37</v>
      </c>
      <c r="AH525">
        <v>29</v>
      </c>
      <c r="AI525">
        <v>35.237824324324329</v>
      </c>
      <c r="AJ525">
        <v>25.61</v>
      </c>
      <c r="AK525">
        <v>22.27</v>
      </c>
      <c r="AL525">
        <v>5.48</v>
      </c>
      <c r="AM525">
        <v>1001</v>
      </c>
      <c r="AN525">
        <v>28.59</v>
      </c>
      <c r="AO525">
        <v>3.98</v>
      </c>
      <c r="AP525">
        <v>18.600000000000001</v>
      </c>
      <c r="AQ525">
        <v>4</v>
      </c>
    </row>
    <row r="526" spans="1:43" x14ac:dyDescent="0.3">
      <c r="A526">
        <v>525</v>
      </c>
      <c r="B526" t="s">
        <v>1509</v>
      </c>
      <c r="C526">
        <v>2024</v>
      </c>
      <c r="D526" t="s">
        <v>1484</v>
      </c>
      <c r="E526">
        <v>10</v>
      </c>
      <c r="F526" t="s">
        <v>1139</v>
      </c>
      <c r="G526" t="s">
        <v>1510</v>
      </c>
      <c r="H526" t="s">
        <v>1210</v>
      </c>
      <c r="I526" t="s">
        <v>1510</v>
      </c>
      <c r="J526" t="s">
        <v>50</v>
      </c>
      <c r="K526">
        <v>6.3</v>
      </c>
      <c r="L526">
        <v>17.600000000000001</v>
      </c>
      <c r="M526">
        <v>3.3</v>
      </c>
      <c r="N526">
        <v>1092</v>
      </c>
      <c r="O526">
        <v>1782</v>
      </c>
      <c r="P526">
        <v>3.3</v>
      </c>
      <c r="Q526">
        <v>48</v>
      </c>
      <c r="R526">
        <v>8</v>
      </c>
      <c r="S526">
        <v>2.06</v>
      </c>
      <c r="T526" t="s">
        <v>58</v>
      </c>
      <c r="U526">
        <v>7458</v>
      </c>
      <c r="V526">
        <v>1</v>
      </c>
      <c r="W526">
        <v>2</v>
      </c>
      <c r="X526">
        <v>476</v>
      </c>
      <c r="Y526">
        <v>13.2</v>
      </c>
      <c r="Z526" t="s">
        <v>350</v>
      </c>
      <c r="AA526">
        <v>30</v>
      </c>
      <c r="AB526">
        <v>70</v>
      </c>
      <c r="AC526" t="s">
        <v>53</v>
      </c>
      <c r="AD526">
        <v>5725</v>
      </c>
      <c r="AE526">
        <v>1844</v>
      </c>
      <c r="AF526">
        <v>1591.97</v>
      </c>
      <c r="AG526">
        <v>1</v>
      </c>
      <c r="AH526">
        <v>1573</v>
      </c>
      <c r="AI526">
        <v>21.4465</v>
      </c>
      <c r="AJ526">
        <v>19.559999999999999</v>
      </c>
      <c r="AK526">
        <v>14.58</v>
      </c>
      <c r="AL526">
        <v>10.65</v>
      </c>
      <c r="AM526">
        <v>1001</v>
      </c>
      <c r="AN526">
        <v>28.59</v>
      </c>
      <c r="AO526">
        <v>5.18</v>
      </c>
      <c r="AP526">
        <v>13.2</v>
      </c>
      <c r="AQ526">
        <v>1</v>
      </c>
    </row>
    <row r="527" spans="1:43" x14ac:dyDescent="0.3">
      <c r="A527">
        <v>526</v>
      </c>
      <c r="B527" t="s">
        <v>1511</v>
      </c>
      <c r="C527">
        <v>2024</v>
      </c>
      <c r="D527" t="s">
        <v>1484</v>
      </c>
      <c r="E527">
        <v>10</v>
      </c>
      <c r="F527" t="s">
        <v>1139</v>
      </c>
      <c r="G527" t="s">
        <v>805</v>
      </c>
      <c r="H527" t="s">
        <v>100</v>
      </c>
      <c r="I527" t="s">
        <v>1512</v>
      </c>
      <c r="J527" t="s">
        <v>50</v>
      </c>
      <c r="K527">
        <v>5.8</v>
      </c>
      <c r="L527">
        <v>10.3</v>
      </c>
      <c r="M527">
        <v>25.8</v>
      </c>
      <c r="N527">
        <v>2758</v>
      </c>
      <c r="O527">
        <v>898</v>
      </c>
      <c r="P527">
        <v>25.8</v>
      </c>
      <c r="Q527">
        <v>185</v>
      </c>
      <c r="R527">
        <v>627</v>
      </c>
      <c r="S527">
        <v>2.61</v>
      </c>
      <c r="T527" t="s">
        <v>77</v>
      </c>
      <c r="U527">
        <v>25009</v>
      </c>
      <c r="V527">
        <v>11</v>
      </c>
      <c r="W527">
        <v>6</v>
      </c>
      <c r="X527">
        <v>1058</v>
      </c>
      <c r="Y527">
        <v>30.5</v>
      </c>
      <c r="Z527" t="s">
        <v>87</v>
      </c>
      <c r="AA527">
        <v>54</v>
      </c>
      <c r="AB527">
        <v>46</v>
      </c>
      <c r="AC527" t="s">
        <v>53</v>
      </c>
      <c r="AD527">
        <v>16504</v>
      </c>
      <c r="AE527">
        <v>4433</v>
      </c>
      <c r="AF527">
        <v>693.23</v>
      </c>
      <c r="AG527">
        <v>6</v>
      </c>
      <c r="AH527">
        <v>325</v>
      </c>
      <c r="AI527">
        <v>44.607750000000003</v>
      </c>
      <c r="AJ527">
        <v>12.14</v>
      </c>
      <c r="AK527">
        <v>70.150000000000006</v>
      </c>
      <c r="AL527">
        <v>7</v>
      </c>
      <c r="AM527">
        <v>1001</v>
      </c>
      <c r="AN527">
        <v>28.59</v>
      </c>
      <c r="AO527">
        <v>266.27999999999997</v>
      </c>
      <c r="AP527">
        <v>30.5</v>
      </c>
      <c r="AQ527">
        <v>11</v>
      </c>
    </row>
    <row r="528" spans="1:43" x14ac:dyDescent="0.3">
      <c r="A528">
        <v>527</v>
      </c>
      <c r="B528" t="s">
        <v>1513</v>
      </c>
      <c r="C528">
        <v>2024</v>
      </c>
      <c r="D528" t="s">
        <v>1484</v>
      </c>
      <c r="E528">
        <v>29</v>
      </c>
      <c r="F528" t="s">
        <v>1139</v>
      </c>
      <c r="G528" t="s">
        <v>286</v>
      </c>
      <c r="H528" t="s">
        <v>48</v>
      </c>
      <c r="I528" t="s">
        <v>287</v>
      </c>
      <c r="J528" t="s">
        <v>50</v>
      </c>
      <c r="K528">
        <v>5.5</v>
      </c>
      <c r="L528">
        <v>7.8</v>
      </c>
      <c r="M528">
        <v>1.6</v>
      </c>
      <c r="N528">
        <v>4091</v>
      </c>
      <c r="O528">
        <v>2754</v>
      </c>
      <c r="P528">
        <v>1.6</v>
      </c>
      <c r="Q528">
        <v>50</v>
      </c>
      <c r="R528">
        <v>3.8</v>
      </c>
      <c r="S528">
        <v>4.3899999999999997</v>
      </c>
      <c r="T528" t="s">
        <v>71</v>
      </c>
      <c r="U528">
        <v>16580</v>
      </c>
      <c r="V528">
        <v>9</v>
      </c>
      <c r="W528">
        <v>13</v>
      </c>
      <c r="X528">
        <v>2.0329999999999999</v>
      </c>
      <c r="Y528">
        <v>13</v>
      </c>
      <c r="Z528" t="s">
        <v>66</v>
      </c>
      <c r="AA528">
        <v>57</v>
      </c>
      <c r="AB528">
        <v>43</v>
      </c>
      <c r="AC528" t="s">
        <v>53</v>
      </c>
      <c r="AD528">
        <v>10546</v>
      </c>
      <c r="AE528">
        <v>5968</v>
      </c>
      <c r="AF528">
        <v>1470.93</v>
      </c>
      <c r="AG528">
        <v>24</v>
      </c>
      <c r="AH528">
        <v>95</v>
      </c>
      <c r="AI528">
        <v>29.87127083333333</v>
      </c>
      <c r="AJ528">
        <v>18.23</v>
      </c>
      <c r="AK528">
        <v>14.05</v>
      </c>
      <c r="AL528">
        <v>16.72</v>
      </c>
      <c r="AM528">
        <v>1001</v>
      </c>
      <c r="AN528">
        <v>28.59</v>
      </c>
      <c r="AO528">
        <v>2.48</v>
      </c>
      <c r="AP528">
        <v>13</v>
      </c>
      <c r="AQ528">
        <v>9</v>
      </c>
    </row>
    <row r="529" spans="1:43" x14ac:dyDescent="0.3">
      <c r="A529">
        <v>528</v>
      </c>
      <c r="B529" t="s">
        <v>1514</v>
      </c>
      <c r="C529">
        <v>2024</v>
      </c>
      <c r="D529" t="s">
        <v>1484</v>
      </c>
      <c r="E529">
        <v>9</v>
      </c>
      <c r="F529" t="s">
        <v>1139</v>
      </c>
      <c r="G529" t="s">
        <v>1515</v>
      </c>
      <c r="H529" t="s">
        <v>100</v>
      </c>
      <c r="I529" t="s">
        <v>1515</v>
      </c>
      <c r="J529" t="s">
        <v>50</v>
      </c>
      <c r="K529">
        <v>7.1</v>
      </c>
      <c r="L529">
        <v>13.4</v>
      </c>
      <c r="M529">
        <v>4.8</v>
      </c>
      <c r="N529">
        <v>317</v>
      </c>
      <c r="O529">
        <v>1579</v>
      </c>
      <c r="P529">
        <v>4.8</v>
      </c>
      <c r="Q529">
        <v>47</v>
      </c>
      <c r="R529">
        <v>13.6</v>
      </c>
      <c r="S529">
        <v>2.2599999999999998</v>
      </c>
      <c r="T529" t="s">
        <v>77</v>
      </c>
      <c r="U529">
        <v>4255</v>
      </c>
      <c r="V529">
        <v>11</v>
      </c>
      <c r="W529">
        <v>15</v>
      </c>
      <c r="X529">
        <v>357</v>
      </c>
      <c r="Y529">
        <v>12.8</v>
      </c>
      <c r="Z529" t="s">
        <v>852</v>
      </c>
      <c r="AA529">
        <v>36</v>
      </c>
      <c r="AB529">
        <v>64</v>
      </c>
      <c r="AC529" t="s">
        <v>53</v>
      </c>
      <c r="AD529">
        <v>1839</v>
      </c>
      <c r="AE529">
        <v>991</v>
      </c>
      <c r="AF529">
        <v>943.43</v>
      </c>
      <c r="AG529">
        <v>5</v>
      </c>
      <c r="AH529">
        <v>1156</v>
      </c>
      <c r="AI529">
        <v>26.731999999999999</v>
      </c>
      <c r="AJ529">
        <v>22.8</v>
      </c>
      <c r="AK529">
        <v>17.82</v>
      </c>
      <c r="AL529">
        <v>20.04</v>
      </c>
      <c r="AM529">
        <v>1001</v>
      </c>
      <c r="AN529">
        <v>28.59</v>
      </c>
      <c r="AO529">
        <v>8.32</v>
      </c>
      <c r="AP529">
        <v>12.8</v>
      </c>
      <c r="AQ529">
        <v>11</v>
      </c>
    </row>
    <row r="530" spans="1:43" x14ac:dyDescent="0.3">
      <c r="A530">
        <v>529</v>
      </c>
      <c r="B530" t="s">
        <v>1516</v>
      </c>
      <c r="C530">
        <v>2024</v>
      </c>
      <c r="D530" t="s">
        <v>1484</v>
      </c>
      <c r="E530">
        <v>101</v>
      </c>
      <c r="F530" t="s">
        <v>1139</v>
      </c>
      <c r="G530" t="s">
        <v>47</v>
      </c>
      <c r="H530" t="s">
        <v>48</v>
      </c>
      <c r="I530" t="s">
        <v>76</v>
      </c>
      <c r="J530" t="s">
        <v>50</v>
      </c>
      <c r="K530">
        <v>5.5</v>
      </c>
      <c r="L530">
        <v>4.9000000000000004</v>
      </c>
      <c r="M530">
        <v>6.5</v>
      </c>
      <c r="N530">
        <v>5970</v>
      </c>
      <c r="O530">
        <v>10544</v>
      </c>
      <c r="P530">
        <v>6.5</v>
      </c>
      <c r="Q530">
        <v>94</v>
      </c>
      <c r="R530">
        <v>9.1999999999999993</v>
      </c>
      <c r="S530">
        <v>5.39</v>
      </c>
      <c r="T530" t="s">
        <v>77</v>
      </c>
      <c r="U530">
        <v>14840</v>
      </c>
      <c r="V530">
        <v>18</v>
      </c>
      <c r="W530">
        <v>30</v>
      </c>
      <c r="X530">
        <v>723</v>
      </c>
      <c r="Y530">
        <v>24.1</v>
      </c>
      <c r="Z530" t="s">
        <v>110</v>
      </c>
      <c r="AA530">
        <v>57</v>
      </c>
      <c r="AB530">
        <v>43</v>
      </c>
      <c r="AC530" t="s">
        <v>53</v>
      </c>
      <c r="AD530">
        <v>11472</v>
      </c>
      <c r="AE530">
        <v>5863</v>
      </c>
      <c r="AF530">
        <v>614.48</v>
      </c>
      <c r="AG530">
        <v>69</v>
      </c>
      <c r="AH530">
        <v>1</v>
      </c>
      <c r="AI530">
        <v>50.817340579710141</v>
      </c>
      <c r="AJ530">
        <v>35.82</v>
      </c>
      <c r="AK530">
        <v>38.92</v>
      </c>
      <c r="AL530">
        <v>35.29</v>
      </c>
      <c r="AM530">
        <v>1001</v>
      </c>
      <c r="AN530">
        <v>28.59</v>
      </c>
      <c r="AO530">
        <v>7.58</v>
      </c>
      <c r="AP530">
        <v>24.1</v>
      </c>
      <c r="AQ530">
        <v>18</v>
      </c>
    </row>
    <row r="531" spans="1:43" x14ac:dyDescent="0.3">
      <c r="A531">
        <v>530</v>
      </c>
      <c r="B531" t="s">
        <v>1517</v>
      </c>
      <c r="C531">
        <v>2024</v>
      </c>
      <c r="D531" t="s">
        <v>1484</v>
      </c>
      <c r="E531">
        <v>84</v>
      </c>
      <c r="F531" t="s">
        <v>1139</v>
      </c>
      <c r="G531" t="s">
        <v>99</v>
      </c>
      <c r="H531" t="s">
        <v>100</v>
      </c>
      <c r="I531" t="s">
        <v>666</v>
      </c>
      <c r="J531" t="s">
        <v>50</v>
      </c>
      <c r="K531">
        <v>4.5999999999999996</v>
      </c>
      <c r="L531">
        <v>2</v>
      </c>
      <c r="M531">
        <v>23</v>
      </c>
      <c r="N531">
        <v>9452</v>
      </c>
      <c r="O531">
        <v>673</v>
      </c>
      <c r="P531">
        <v>23</v>
      </c>
      <c r="Q531">
        <v>294</v>
      </c>
      <c r="R531">
        <v>764</v>
      </c>
      <c r="S531">
        <v>445.99072233267071</v>
      </c>
      <c r="T531" t="s">
        <v>58</v>
      </c>
      <c r="U531">
        <v>33528</v>
      </c>
      <c r="V531">
        <v>2</v>
      </c>
      <c r="W531">
        <v>2</v>
      </c>
      <c r="X531">
        <v>1.5089999999999999</v>
      </c>
      <c r="Y531">
        <v>19.8</v>
      </c>
      <c r="Z531" t="s">
        <v>1336</v>
      </c>
      <c r="AA531">
        <v>24</v>
      </c>
      <c r="AB531">
        <v>76</v>
      </c>
      <c r="AC531" t="s">
        <v>53</v>
      </c>
      <c r="AD531">
        <v>18451</v>
      </c>
      <c r="AE531">
        <v>15113</v>
      </c>
      <c r="AF531">
        <v>616.32000000000005</v>
      </c>
      <c r="AG531">
        <v>35</v>
      </c>
      <c r="AH531">
        <v>12</v>
      </c>
      <c r="AI531">
        <v>56.538228571428569</v>
      </c>
      <c r="AJ531">
        <v>21.88</v>
      </c>
      <c r="AK531">
        <v>70.61</v>
      </c>
      <c r="AL531">
        <v>14.17</v>
      </c>
      <c r="AM531">
        <v>1001</v>
      </c>
      <c r="AN531">
        <v>28.59</v>
      </c>
      <c r="AO531">
        <v>319.39999999999998</v>
      </c>
      <c r="AP531">
        <v>19.8</v>
      </c>
      <c r="AQ531">
        <v>2</v>
      </c>
    </row>
    <row r="532" spans="1:43" x14ac:dyDescent="0.3">
      <c r="A532">
        <v>531</v>
      </c>
      <c r="B532" t="s">
        <v>1518</v>
      </c>
      <c r="C532">
        <v>2024</v>
      </c>
      <c r="D532" t="s">
        <v>1484</v>
      </c>
      <c r="E532">
        <v>204</v>
      </c>
      <c r="F532" t="s">
        <v>1139</v>
      </c>
      <c r="G532" t="s">
        <v>63</v>
      </c>
      <c r="H532" t="s">
        <v>64</v>
      </c>
      <c r="I532" t="s">
        <v>745</v>
      </c>
      <c r="J532" t="s">
        <v>65</v>
      </c>
      <c r="K532">
        <v>6.5</v>
      </c>
      <c r="L532">
        <v>7.7</v>
      </c>
      <c r="M532">
        <v>3.4</v>
      </c>
      <c r="N532">
        <v>5802</v>
      </c>
      <c r="O532">
        <v>541</v>
      </c>
      <c r="P532">
        <v>3.4</v>
      </c>
      <c r="Q532">
        <v>96</v>
      </c>
      <c r="R532">
        <v>1001</v>
      </c>
      <c r="S532">
        <v>486.94869486948693</v>
      </c>
      <c r="T532" t="s">
        <v>58</v>
      </c>
      <c r="U532">
        <v>10199</v>
      </c>
      <c r="V532">
        <v>5</v>
      </c>
      <c r="W532">
        <v>20.44880899</v>
      </c>
      <c r="X532">
        <v>1.111</v>
      </c>
      <c r="Y532">
        <v>9.6999999999999993</v>
      </c>
      <c r="Z532" t="s">
        <v>1519</v>
      </c>
      <c r="AA532">
        <v>47.18833308</v>
      </c>
      <c r="AB532">
        <v>52.81166692</v>
      </c>
      <c r="AC532" t="s">
        <v>53</v>
      </c>
      <c r="AD532">
        <v>10324</v>
      </c>
      <c r="AE532">
        <v>3889</v>
      </c>
      <c r="AF532">
        <v>647.61</v>
      </c>
      <c r="AG532">
        <v>98</v>
      </c>
      <c r="AH532">
        <v>2</v>
      </c>
      <c r="AI532">
        <v>56.843244897959181</v>
      </c>
      <c r="AJ532">
        <v>29.74</v>
      </c>
      <c r="AK532">
        <v>38.11</v>
      </c>
      <c r="AL532">
        <v>19.260000000000002</v>
      </c>
      <c r="AM532">
        <v>1001</v>
      </c>
      <c r="AN532">
        <v>28.59</v>
      </c>
      <c r="AO532">
        <v>402.44</v>
      </c>
      <c r="AP532">
        <v>9.6999999999999993</v>
      </c>
      <c r="AQ532">
        <v>5</v>
      </c>
    </row>
    <row r="533" spans="1:43" x14ac:dyDescent="0.3">
      <c r="A533">
        <v>532</v>
      </c>
      <c r="B533" t="s">
        <v>1520</v>
      </c>
      <c r="C533">
        <v>2024</v>
      </c>
      <c r="D533" t="s">
        <v>1484</v>
      </c>
      <c r="E533">
        <v>12</v>
      </c>
      <c r="F533" t="s">
        <v>1139</v>
      </c>
      <c r="G533" t="s">
        <v>1142</v>
      </c>
      <c r="H533" t="s">
        <v>48</v>
      </c>
      <c r="I533" t="s">
        <v>1142</v>
      </c>
      <c r="J533" t="s">
        <v>65</v>
      </c>
      <c r="K533">
        <v>5.6</v>
      </c>
      <c r="L533">
        <v>4</v>
      </c>
      <c r="M533">
        <v>2.9</v>
      </c>
      <c r="N533">
        <v>2427</v>
      </c>
      <c r="O533">
        <v>12951</v>
      </c>
      <c r="P533">
        <v>2.9</v>
      </c>
      <c r="Q533">
        <v>101</v>
      </c>
      <c r="R533">
        <v>32.1</v>
      </c>
      <c r="S533">
        <v>4.49</v>
      </c>
      <c r="T533" t="s">
        <v>96</v>
      </c>
      <c r="U533">
        <v>10252</v>
      </c>
      <c r="V533">
        <v>16</v>
      </c>
      <c r="W533">
        <v>16</v>
      </c>
      <c r="X533">
        <v>541</v>
      </c>
      <c r="Y533">
        <v>11.6</v>
      </c>
      <c r="Z533" t="s">
        <v>337</v>
      </c>
      <c r="AA533">
        <v>59</v>
      </c>
      <c r="AB533">
        <v>41</v>
      </c>
      <c r="AC533" t="s">
        <v>53</v>
      </c>
      <c r="AD533">
        <v>6520</v>
      </c>
      <c r="AE533">
        <v>2958</v>
      </c>
      <c r="AF533">
        <v>969.17</v>
      </c>
      <c r="AG533">
        <v>8</v>
      </c>
      <c r="AH533">
        <v>779</v>
      </c>
      <c r="AI533">
        <v>28.816500000000001</v>
      </c>
      <c r="AJ533">
        <v>22.44</v>
      </c>
      <c r="AK533">
        <v>17.559999999999999</v>
      </c>
      <c r="AL533">
        <v>17.809999999999999</v>
      </c>
      <c r="AM533">
        <v>1001</v>
      </c>
      <c r="AN533">
        <v>28.59</v>
      </c>
      <c r="AO533">
        <v>14.58</v>
      </c>
      <c r="AP533">
        <v>11.6</v>
      </c>
      <c r="AQ533">
        <v>16</v>
      </c>
    </row>
    <row r="534" spans="1:43" x14ac:dyDescent="0.3">
      <c r="A534">
        <v>533</v>
      </c>
      <c r="B534" t="s">
        <v>1521</v>
      </c>
      <c r="C534">
        <v>2024</v>
      </c>
      <c r="D534" t="s">
        <v>1484</v>
      </c>
      <c r="E534">
        <v>57</v>
      </c>
      <c r="F534" t="s">
        <v>1139</v>
      </c>
      <c r="G534" t="s">
        <v>99</v>
      </c>
      <c r="H534" t="s">
        <v>100</v>
      </c>
      <c r="I534" t="s">
        <v>99</v>
      </c>
      <c r="J534" t="s">
        <v>50</v>
      </c>
      <c r="K534">
        <v>4.9000000000000004</v>
      </c>
      <c r="L534">
        <v>6.8</v>
      </c>
      <c r="M534">
        <v>20.5</v>
      </c>
      <c r="N534">
        <v>14550</v>
      </c>
      <c r="O534">
        <v>898</v>
      </c>
      <c r="P534">
        <v>20.5</v>
      </c>
      <c r="Q534">
        <v>334</v>
      </c>
      <c r="R534">
        <v>476</v>
      </c>
      <c r="S534">
        <v>5.82</v>
      </c>
      <c r="T534" t="s">
        <v>77</v>
      </c>
      <c r="U534">
        <v>31018</v>
      </c>
      <c r="V534">
        <v>1</v>
      </c>
      <c r="W534">
        <v>1</v>
      </c>
      <c r="X534">
        <v>2502</v>
      </c>
      <c r="Y534">
        <v>12.9</v>
      </c>
      <c r="Z534" t="s">
        <v>66</v>
      </c>
      <c r="AA534">
        <v>50.913999349999997</v>
      </c>
      <c r="AB534">
        <v>49.086000650000003</v>
      </c>
      <c r="AC534" t="s">
        <v>53</v>
      </c>
      <c r="AD534">
        <v>23247</v>
      </c>
      <c r="AE534">
        <v>9334</v>
      </c>
      <c r="AF534">
        <v>616.32000000000005</v>
      </c>
      <c r="AG534">
        <v>35</v>
      </c>
      <c r="AH534">
        <v>12</v>
      </c>
      <c r="AI534">
        <v>56.538228571428569</v>
      </c>
      <c r="AJ534">
        <v>21.88</v>
      </c>
      <c r="AK534">
        <v>70.61</v>
      </c>
      <c r="AL534">
        <v>14.17</v>
      </c>
      <c r="AM534">
        <v>1001</v>
      </c>
      <c r="AN534">
        <v>28.59</v>
      </c>
      <c r="AO534">
        <v>202.7</v>
      </c>
      <c r="AP534">
        <v>12.9</v>
      </c>
      <c r="AQ534">
        <v>1</v>
      </c>
    </row>
    <row r="535" spans="1:43" x14ac:dyDescent="0.3">
      <c r="A535">
        <v>534</v>
      </c>
      <c r="B535" t="s">
        <v>1522</v>
      </c>
      <c r="C535">
        <v>2024</v>
      </c>
      <c r="D535" t="s">
        <v>1484</v>
      </c>
      <c r="E535">
        <v>45</v>
      </c>
      <c r="F535" t="s">
        <v>1139</v>
      </c>
      <c r="G535" t="s">
        <v>131</v>
      </c>
      <c r="H535" t="s">
        <v>100</v>
      </c>
      <c r="I535" t="s">
        <v>1523</v>
      </c>
      <c r="J535" t="s">
        <v>50</v>
      </c>
      <c r="K535">
        <v>6.1</v>
      </c>
      <c r="L535">
        <v>2.9</v>
      </c>
      <c r="M535">
        <v>3.9</v>
      </c>
      <c r="N535">
        <v>1269</v>
      </c>
      <c r="O535">
        <v>1001</v>
      </c>
      <c r="P535">
        <v>3.9</v>
      </c>
      <c r="Q535">
        <v>76</v>
      </c>
      <c r="R535">
        <v>757</v>
      </c>
      <c r="S535">
        <v>752.06611570247935</v>
      </c>
      <c r="T535" t="s">
        <v>77</v>
      </c>
      <c r="U535">
        <v>10257</v>
      </c>
      <c r="V535">
        <v>3</v>
      </c>
      <c r="W535">
        <v>2</v>
      </c>
      <c r="X535">
        <v>1.331</v>
      </c>
      <c r="Y535">
        <v>10.1</v>
      </c>
      <c r="Z535" t="s">
        <v>852</v>
      </c>
      <c r="AA535">
        <v>39</v>
      </c>
      <c r="AB535">
        <v>61</v>
      </c>
      <c r="AC535" t="s">
        <v>53</v>
      </c>
      <c r="AD535">
        <v>5539</v>
      </c>
      <c r="AE535">
        <v>4591</v>
      </c>
      <c r="AF535">
        <v>1349.57</v>
      </c>
      <c r="AG535">
        <v>37</v>
      </c>
      <c r="AH535">
        <v>29</v>
      </c>
      <c r="AI535">
        <v>35.237824324324329</v>
      </c>
      <c r="AJ535">
        <v>25.61</v>
      </c>
      <c r="AK535">
        <v>22.27</v>
      </c>
      <c r="AL535">
        <v>5.48</v>
      </c>
      <c r="AM535">
        <v>1001</v>
      </c>
      <c r="AN535">
        <v>28.59</v>
      </c>
      <c r="AO535">
        <v>305.14</v>
      </c>
      <c r="AP535">
        <v>10.1</v>
      </c>
      <c r="AQ535">
        <v>3</v>
      </c>
    </row>
    <row r="536" spans="1:43" x14ac:dyDescent="0.3">
      <c r="A536">
        <v>535</v>
      </c>
      <c r="B536" t="s">
        <v>1524</v>
      </c>
      <c r="C536">
        <v>2024</v>
      </c>
      <c r="D536" t="s">
        <v>1484</v>
      </c>
      <c r="E536">
        <v>66</v>
      </c>
      <c r="F536" t="s">
        <v>1139</v>
      </c>
      <c r="G536" t="s">
        <v>286</v>
      </c>
      <c r="H536" t="s">
        <v>48</v>
      </c>
      <c r="I536" t="s">
        <v>1525</v>
      </c>
      <c r="J536" t="s">
        <v>50</v>
      </c>
      <c r="K536">
        <v>5</v>
      </c>
      <c r="L536">
        <v>3.6</v>
      </c>
      <c r="M536">
        <v>1.4</v>
      </c>
      <c r="N536">
        <v>2300</v>
      </c>
      <c r="O536">
        <v>1979</v>
      </c>
      <c r="P536">
        <v>1.4</v>
      </c>
      <c r="Q536">
        <v>40</v>
      </c>
      <c r="R536">
        <v>3.6</v>
      </c>
      <c r="S536">
        <v>2.0699999999999998</v>
      </c>
      <c r="T536" t="s">
        <v>51</v>
      </c>
      <c r="U536">
        <v>13088</v>
      </c>
      <c r="V536">
        <v>16</v>
      </c>
      <c r="W536">
        <v>16</v>
      </c>
      <c r="X536">
        <v>1.1839999999999999</v>
      </c>
      <c r="Y536">
        <v>11.6</v>
      </c>
      <c r="Z536" t="s">
        <v>124</v>
      </c>
      <c r="AA536">
        <v>39</v>
      </c>
      <c r="AB536">
        <v>61</v>
      </c>
      <c r="AC536" t="s">
        <v>53</v>
      </c>
      <c r="AD536">
        <v>8007</v>
      </c>
      <c r="AE536">
        <v>5465</v>
      </c>
      <c r="AF536">
        <v>1470.93</v>
      </c>
      <c r="AG536">
        <v>24</v>
      </c>
      <c r="AH536">
        <v>95</v>
      </c>
      <c r="AI536">
        <v>29.87127083333333</v>
      </c>
      <c r="AJ536">
        <v>18.23</v>
      </c>
      <c r="AK536">
        <v>14.05</v>
      </c>
      <c r="AL536">
        <v>16.72</v>
      </c>
      <c r="AM536">
        <v>1001</v>
      </c>
      <c r="AN536">
        <v>28.59</v>
      </c>
      <c r="AO536">
        <v>2.2799999999999998</v>
      </c>
      <c r="AP536">
        <v>11.6</v>
      </c>
      <c r="AQ536">
        <v>16</v>
      </c>
    </row>
    <row r="537" spans="1:43" x14ac:dyDescent="0.3">
      <c r="A537">
        <v>536</v>
      </c>
      <c r="B537" t="s">
        <v>1526</v>
      </c>
      <c r="C537">
        <v>2024</v>
      </c>
      <c r="D537" t="s">
        <v>1484</v>
      </c>
      <c r="E537">
        <v>47</v>
      </c>
      <c r="F537" t="s">
        <v>1139</v>
      </c>
      <c r="G537" t="s">
        <v>131</v>
      </c>
      <c r="H537" t="s">
        <v>100</v>
      </c>
      <c r="I537" t="s">
        <v>177</v>
      </c>
      <c r="J537" t="s">
        <v>50</v>
      </c>
      <c r="K537">
        <v>6.4</v>
      </c>
      <c r="L537">
        <v>4</v>
      </c>
      <c r="M537">
        <v>12.9</v>
      </c>
      <c r="N537">
        <v>1066</v>
      </c>
      <c r="O537">
        <v>3461</v>
      </c>
      <c r="P537">
        <v>12.9</v>
      </c>
      <c r="Q537">
        <v>66</v>
      </c>
      <c r="R537">
        <v>13.4</v>
      </c>
      <c r="S537">
        <v>3.68</v>
      </c>
      <c r="T537" t="s">
        <v>71</v>
      </c>
      <c r="U537">
        <v>3943</v>
      </c>
      <c r="V537">
        <v>6</v>
      </c>
      <c r="W537">
        <v>6</v>
      </c>
      <c r="X537">
        <v>310</v>
      </c>
      <c r="Y537">
        <v>13.8</v>
      </c>
      <c r="Z537" t="s">
        <v>526</v>
      </c>
      <c r="AA537">
        <v>29</v>
      </c>
      <c r="AB537">
        <v>71</v>
      </c>
      <c r="AC537" t="s">
        <v>53</v>
      </c>
      <c r="AD537">
        <v>2756</v>
      </c>
      <c r="AE537">
        <v>1262</v>
      </c>
      <c r="AF537">
        <v>1349.57</v>
      </c>
      <c r="AG537">
        <v>37</v>
      </c>
      <c r="AH537">
        <v>29</v>
      </c>
      <c r="AI537">
        <v>35.237824324324329</v>
      </c>
      <c r="AJ537">
        <v>25.61</v>
      </c>
      <c r="AK537">
        <v>22.27</v>
      </c>
      <c r="AL537">
        <v>5.48</v>
      </c>
      <c r="AM537">
        <v>1001</v>
      </c>
      <c r="AN537">
        <v>28.59</v>
      </c>
      <c r="AO537">
        <v>13.1</v>
      </c>
      <c r="AP537">
        <v>13.8</v>
      </c>
      <c r="AQ537">
        <v>6</v>
      </c>
    </row>
    <row r="538" spans="1:43" x14ac:dyDescent="0.3">
      <c r="A538">
        <v>537</v>
      </c>
      <c r="B538" t="s">
        <v>1527</v>
      </c>
      <c r="C538">
        <v>2024</v>
      </c>
      <c r="D538" t="s">
        <v>1484</v>
      </c>
      <c r="E538">
        <v>101</v>
      </c>
      <c r="F538" t="s">
        <v>1139</v>
      </c>
      <c r="G538" t="s">
        <v>47</v>
      </c>
      <c r="H538" t="s">
        <v>48</v>
      </c>
      <c r="I538" t="s">
        <v>258</v>
      </c>
      <c r="J538" t="s">
        <v>50</v>
      </c>
      <c r="K538">
        <v>4.4000000000000004</v>
      </c>
      <c r="L538">
        <v>8</v>
      </c>
      <c r="M538">
        <v>8.1</v>
      </c>
      <c r="N538">
        <v>6692</v>
      </c>
      <c r="O538">
        <v>12911</v>
      </c>
      <c r="P538">
        <v>8.1</v>
      </c>
      <c r="Q538">
        <v>114</v>
      </c>
      <c r="R538">
        <v>9.3000000000000007</v>
      </c>
      <c r="S538">
        <v>4.24</v>
      </c>
      <c r="T538" t="s">
        <v>96</v>
      </c>
      <c r="U538">
        <v>20360</v>
      </c>
      <c r="V538">
        <v>15</v>
      </c>
      <c r="W538">
        <v>23</v>
      </c>
      <c r="X538">
        <v>1015</v>
      </c>
      <c r="Y538">
        <v>21.9</v>
      </c>
      <c r="Z538" t="s">
        <v>87</v>
      </c>
      <c r="AA538">
        <v>54</v>
      </c>
      <c r="AB538">
        <v>46</v>
      </c>
      <c r="AC538" t="s">
        <v>53</v>
      </c>
      <c r="AD538">
        <v>12015</v>
      </c>
      <c r="AE538">
        <v>7810</v>
      </c>
      <c r="AF538">
        <v>614.48</v>
      </c>
      <c r="AG538">
        <v>69</v>
      </c>
      <c r="AH538">
        <v>1</v>
      </c>
      <c r="AI538">
        <v>50.817340579710141</v>
      </c>
      <c r="AJ538">
        <v>35.82</v>
      </c>
      <c r="AK538">
        <v>38.92</v>
      </c>
      <c r="AL538">
        <v>35.29</v>
      </c>
      <c r="AM538">
        <v>1001</v>
      </c>
      <c r="AN538">
        <v>28.59</v>
      </c>
      <c r="AO538">
        <v>8.58</v>
      </c>
      <c r="AP538">
        <v>21.9</v>
      </c>
      <c r="AQ538">
        <v>15</v>
      </c>
    </row>
    <row r="539" spans="1:43" x14ac:dyDescent="0.3">
      <c r="A539">
        <v>538</v>
      </c>
      <c r="B539" t="s">
        <v>1528</v>
      </c>
      <c r="C539">
        <v>2024</v>
      </c>
      <c r="D539" t="s">
        <v>1484</v>
      </c>
      <c r="E539">
        <v>14</v>
      </c>
      <c r="F539" t="s">
        <v>1139</v>
      </c>
      <c r="G539" t="s">
        <v>755</v>
      </c>
      <c r="H539" t="s">
        <v>48</v>
      </c>
      <c r="I539" t="s">
        <v>1529</v>
      </c>
      <c r="J539" t="s">
        <v>50</v>
      </c>
      <c r="K539">
        <v>5.4</v>
      </c>
      <c r="L539">
        <v>3.7</v>
      </c>
      <c r="M539">
        <v>8.3000000000000007</v>
      </c>
      <c r="N539">
        <v>4561</v>
      </c>
      <c r="O539">
        <v>10285</v>
      </c>
      <c r="P539">
        <v>8.3000000000000007</v>
      </c>
      <c r="Q539">
        <v>98</v>
      </c>
      <c r="R539">
        <v>11</v>
      </c>
      <c r="S539">
        <v>3.89</v>
      </c>
      <c r="T539" t="s">
        <v>58</v>
      </c>
      <c r="U539">
        <v>11706</v>
      </c>
      <c r="V539">
        <v>5</v>
      </c>
      <c r="W539">
        <v>6</v>
      </c>
      <c r="X539">
        <v>1.2070000000000001</v>
      </c>
      <c r="Y539">
        <v>13.1</v>
      </c>
      <c r="Z539" t="s">
        <v>332</v>
      </c>
      <c r="AA539">
        <v>38</v>
      </c>
      <c r="AB539">
        <v>62</v>
      </c>
      <c r="AC539" t="s">
        <v>53</v>
      </c>
      <c r="AD539">
        <v>7497</v>
      </c>
      <c r="AE539">
        <v>2979</v>
      </c>
      <c r="AF539">
        <v>1260.32</v>
      </c>
      <c r="AG539">
        <v>8</v>
      </c>
      <c r="AH539">
        <v>614</v>
      </c>
      <c r="AI539">
        <v>28.03875</v>
      </c>
      <c r="AJ539">
        <v>23.47</v>
      </c>
      <c r="AK539">
        <v>21.97</v>
      </c>
      <c r="AL539">
        <v>11.88</v>
      </c>
      <c r="AM539">
        <v>1001</v>
      </c>
      <c r="AN539">
        <v>28.59</v>
      </c>
      <c r="AO539">
        <v>9.3800000000000008</v>
      </c>
      <c r="AP539">
        <v>13.1</v>
      </c>
      <c r="AQ539">
        <v>5</v>
      </c>
    </row>
    <row r="540" spans="1:43" x14ac:dyDescent="0.3">
      <c r="A540">
        <v>539</v>
      </c>
      <c r="B540" t="s">
        <v>1530</v>
      </c>
      <c r="C540">
        <v>2024</v>
      </c>
      <c r="D540" t="s">
        <v>1484</v>
      </c>
      <c r="E540">
        <v>3</v>
      </c>
      <c r="F540" t="s">
        <v>1139</v>
      </c>
      <c r="G540" t="s">
        <v>870</v>
      </c>
      <c r="H540" t="s">
        <v>493</v>
      </c>
      <c r="I540" t="s">
        <v>1531</v>
      </c>
      <c r="J540" t="s">
        <v>50</v>
      </c>
      <c r="K540">
        <v>12.9</v>
      </c>
      <c r="L540">
        <v>8.1</v>
      </c>
      <c r="M540">
        <v>2.4</v>
      </c>
      <c r="N540">
        <v>48774</v>
      </c>
      <c r="O540">
        <v>898</v>
      </c>
      <c r="P540">
        <v>2.4</v>
      </c>
      <c r="Q540">
        <v>236</v>
      </c>
      <c r="R540">
        <v>731</v>
      </c>
      <c r="S540">
        <v>0.1188459502382212</v>
      </c>
      <c r="T540" t="s">
        <v>58</v>
      </c>
      <c r="U540">
        <v>174302</v>
      </c>
      <c r="V540">
        <v>4</v>
      </c>
      <c r="W540">
        <v>14</v>
      </c>
      <c r="X540">
        <v>7556</v>
      </c>
      <c r="Y540">
        <v>40.200000000000003</v>
      </c>
      <c r="Z540" t="s">
        <v>133</v>
      </c>
      <c r="AA540">
        <v>55</v>
      </c>
      <c r="AB540">
        <v>45</v>
      </c>
      <c r="AC540" t="s">
        <v>53</v>
      </c>
      <c r="AD540">
        <v>113034</v>
      </c>
      <c r="AE540">
        <v>52937</v>
      </c>
      <c r="AF540">
        <v>1164.33</v>
      </c>
      <c r="AG540">
        <v>7</v>
      </c>
      <c r="AH540">
        <v>818</v>
      </c>
      <c r="AI540">
        <v>31.523785714285712</v>
      </c>
      <c r="AJ540">
        <v>25.16</v>
      </c>
      <c r="AK540">
        <v>18.14</v>
      </c>
      <c r="AL540">
        <v>5.76</v>
      </c>
      <c r="AM540">
        <v>1001</v>
      </c>
      <c r="AN540">
        <v>28.59</v>
      </c>
      <c r="AO540">
        <v>293.83999999999997</v>
      </c>
      <c r="AP540">
        <v>40.200000000000003</v>
      </c>
      <c r="AQ540">
        <v>4</v>
      </c>
    </row>
    <row r="541" spans="1:43" x14ac:dyDescent="0.3">
      <c r="A541">
        <v>540</v>
      </c>
      <c r="B541" t="s">
        <v>1532</v>
      </c>
      <c r="C541">
        <v>2024</v>
      </c>
      <c r="D541" t="s">
        <v>1484</v>
      </c>
      <c r="E541">
        <v>47</v>
      </c>
      <c r="F541" t="s">
        <v>1139</v>
      </c>
      <c r="G541" t="s">
        <v>131</v>
      </c>
      <c r="H541" t="s">
        <v>100</v>
      </c>
      <c r="I541" t="s">
        <v>132</v>
      </c>
      <c r="J541" t="s">
        <v>65</v>
      </c>
      <c r="K541">
        <v>7.4</v>
      </c>
      <c r="L541">
        <v>24.5</v>
      </c>
      <c r="M541">
        <v>1.7</v>
      </c>
      <c r="N541">
        <v>4589</v>
      </c>
      <c r="O541">
        <v>3812</v>
      </c>
      <c r="P541">
        <v>1.7</v>
      </c>
      <c r="Q541">
        <v>58</v>
      </c>
      <c r="R541">
        <v>6</v>
      </c>
      <c r="S541">
        <v>2.31</v>
      </c>
      <c r="T541" t="s">
        <v>96</v>
      </c>
      <c r="U541">
        <v>32810</v>
      </c>
      <c r="V541">
        <v>5</v>
      </c>
      <c r="W541">
        <v>5</v>
      </c>
      <c r="X541">
        <v>1693</v>
      </c>
      <c r="Y541">
        <v>34</v>
      </c>
      <c r="Z541" t="s">
        <v>386</v>
      </c>
      <c r="AA541">
        <v>34</v>
      </c>
      <c r="AB541">
        <v>66</v>
      </c>
      <c r="AC541" t="s">
        <v>53</v>
      </c>
      <c r="AD541">
        <v>21489</v>
      </c>
      <c r="AE541">
        <v>12583</v>
      </c>
      <c r="AF541">
        <v>1349.57</v>
      </c>
      <c r="AG541">
        <v>37</v>
      </c>
      <c r="AH541">
        <v>29</v>
      </c>
      <c r="AI541">
        <v>35.237824324324329</v>
      </c>
      <c r="AJ541">
        <v>25.61</v>
      </c>
      <c r="AK541">
        <v>22.27</v>
      </c>
      <c r="AL541">
        <v>5.48</v>
      </c>
      <c r="AM541">
        <v>1001</v>
      </c>
      <c r="AN541">
        <v>28.59</v>
      </c>
      <c r="AO541">
        <v>3.42</v>
      </c>
      <c r="AP541">
        <v>34</v>
      </c>
      <c r="AQ541">
        <v>5</v>
      </c>
    </row>
    <row r="542" spans="1:43" x14ac:dyDescent="0.3">
      <c r="A542">
        <v>541</v>
      </c>
      <c r="B542" t="s">
        <v>1533</v>
      </c>
      <c r="C542">
        <v>2024</v>
      </c>
      <c r="D542" t="s">
        <v>1484</v>
      </c>
      <c r="E542">
        <v>163</v>
      </c>
      <c r="F542" t="s">
        <v>1139</v>
      </c>
      <c r="G542" t="s">
        <v>63</v>
      </c>
      <c r="H542" t="s">
        <v>64</v>
      </c>
      <c r="I542" t="s">
        <v>1534</v>
      </c>
      <c r="J542" t="s">
        <v>50</v>
      </c>
      <c r="K542">
        <v>6</v>
      </c>
      <c r="L542">
        <v>5.8</v>
      </c>
      <c r="M542">
        <v>18.399999999999999</v>
      </c>
      <c r="N542">
        <v>9593</v>
      </c>
      <c r="O542">
        <v>673</v>
      </c>
      <c r="P542">
        <v>18.399999999999999</v>
      </c>
      <c r="Q542">
        <v>323</v>
      </c>
      <c r="R542">
        <v>622</v>
      </c>
      <c r="S542">
        <v>0.61015412511332734</v>
      </c>
      <c r="T542" t="s">
        <v>77</v>
      </c>
      <c r="U542">
        <v>21181</v>
      </c>
      <c r="V542">
        <v>4</v>
      </c>
      <c r="W542">
        <v>4</v>
      </c>
      <c r="X542">
        <v>1103</v>
      </c>
      <c r="Y542">
        <v>14.6</v>
      </c>
      <c r="Z542" t="s">
        <v>337</v>
      </c>
      <c r="AA542">
        <v>53</v>
      </c>
      <c r="AB542">
        <v>47</v>
      </c>
      <c r="AC542" t="s">
        <v>53</v>
      </c>
      <c r="AD542">
        <v>13830</v>
      </c>
      <c r="AE542">
        <v>7014</v>
      </c>
      <c r="AF542">
        <v>647.61</v>
      </c>
      <c r="AG542">
        <v>98</v>
      </c>
      <c r="AH542">
        <v>2</v>
      </c>
      <c r="AI542">
        <v>56.843244897959181</v>
      </c>
      <c r="AJ542">
        <v>29.74</v>
      </c>
      <c r="AK542">
        <v>38.11</v>
      </c>
      <c r="AL542">
        <v>19.260000000000002</v>
      </c>
      <c r="AM542">
        <v>1001</v>
      </c>
      <c r="AN542">
        <v>28.59</v>
      </c>
      <c r="AO542">
        <v>259.83999999999997</v>
      </c>
      <c r="AP542">
        <v>14.6</v>
      </c>
      <c r="AQ542">
        <v>4</v>
      </c>
    </row>
    <row r="543" spans="1:43" x14ac:dyDescent="0.3">
      <c r="A543">
        <v>542</v>
      </c>
      <c r="B543" t="s">
        <v>1535</v>
      </c>
      <c r="C543">
        <v>2024</v>
      </c>
      <c r="D543" t="s">
        <v>1484</v>
      </c>
      <c r="E543">
        <v>4</v>
      </c>
      <c r="F543" t="s">
        <v>1139</v>
      </c>
      <c r="G543" t="s">
        <v>1471</v>
      </c>
      <c r="H543" t="s">
        <v>100</v>
      </c>
      <c r="I543" t="s">
        <v>1472</v>
      </c>
      <c r="J543" t="s">
        <v>50</v>
      </c>
      <c r="K543">
        <v>3.7</v>
      </c>
      <c r="L543">
        <v>5.3</v>
      </c>
      <c r="M543">
        <v>1.3</v>
      </c>
      <c r="N543">
        <v>6475</v>
      </c>
      <c r="O543">
        <v>3543</v>
      </c>
      <c r="P543">
        <v>1.3</v>
      </c>
      <c r="Q543">
        <v>58</v>
      </c>
      <c r="R543">
        <v>5.0999999999999996</v>
      </c>
      <c r="S543">
        <v>1.83</v>
      </c>
      <c r="T543" t="s">
        <v>96</v>
      </c>
      <c r="U543">
        <v>30964</v>
      </c>
      <c r="V543">
        <v>1</v>
      </c>
      <c r="W543">
        <v>1</v>
      </c>
      <c r="X543">
        <v>4704</v>
      </c>
      <c r="Y543">
        <v>6.5</v>
      </c>
      <c r="Z543" t="s">
        <v>185</v>
      </c>
      <c r="AA543">
        <v>55</v>
      </c>
      <c r="AB543">
        <v>45</v>
      </c>
      <c r="AC543" t="s">
        <v>53</v>
      </c>
      <c r="AD543">
        <v>23873</v>
      </c>
      <c r="AE543">
        <v>8971</v>
      </c>
      <c r="AF543">
        <v>1516.04</v>
      </c>
      <c r="AG543">
        <v>5</v>
      </c>
      <c r="AH543">
        <v>1346</v>
      </c>
      <c r="AI543">
        <v>19.221299999999999</v>
      </c>
      <c r="AJ543">
        <v>18.920000000000002</v>
      </c>
      <c r="AK543">
        <v>13.9</v>
      </c>
      <c r="AL543">
        <v>1.06</v>
      </c>
      <c r="AM543">
        <v>1001</v>
      </c>
      <c r="AN543">
        <v>28.59</v>
      </c>
      <c r="AO543">
        <v>2.82</v>
      </c>
      <c r="AP543">
        <v>6.5</v>
      </c>
      <c r="AQ543">
        <v>1</v>
      </c>
    </row>
    <row r="544" spans="1:43" x14ac:dyDescent="0.3">
      <c r="A544">
        <v>543</v>
      </c>
      <c r="B544" t="s">
        <v>1536</v>
      </c>
      <c r="C544">
        <v>2024</v>
      </c>
      <c r="D544" t="s">
        <v>1484</v>
      </c>
      <c r="E544">
        <v>14</v>
      </c>
      <c r="F544" t="s">
        <v>1139</v>
      </c>
      <c r="G544" t="s">
        <v>1515</v>
      </c>
      <c r="H544" t="s">
        <v>100</v>
      </c>
      <c r="I544" t="s">
        <v>1537</v>
      </c>
      <c r="J544" t="s">
        <v>50</v>
      </c>
      <c r="K544">
        <v>7.6</v>
      </c>
      <c r="L544">
        <v>8.9</v>
      </c>
      <c r="M544">
        <v>1.7</v>
      </c>
      <c r="N544">
        <v>6304</v>
      </c>
      <c r="O544">
        <v>6121</v>
      </c>
      <c r="P544">
        <v>1.7</v>
      </c>
      <c r="Q544">
        <v>72</v>
      </c>
      <c r="R544">
        <v>9.5</v>
      </c>
      <c r="S544">
        <v>3.41</v>
      </c>
      <c r="T544" t="s">
        <v>77</v>
      </c>
      <c r="U544">
        <v>11348</v>
      </c>
      <c r="V544">
        <v>18</v>
      </c>
      <c r="W544">
        <v>13</v>
      </c>
      <c r="X544">
        <v>699</v>
      </c>
      <c r="Y544">
        <v>15.5</v>
      </c>
      <c r="Z544" t="s">
        <v>197</v>
      </c>
      <c r="AA544">
        <v>53</v>
      </c>
      <c r="AB544">
        <v>47</v>
      </c>
      <c r="AC544" t="s">
        <v>53</v>
      </c>
      <c r="AD544">
        <v>12379</v>
      </c>
      <c r="AE544">
        <v>3200</v>
      </c>
      <c r="AF544">
        <v>943.43</v>
      </c>
      <c r="AG544">
        <v>5</v>
      </c>
      <c r="AH544">
        <v>1156</v>
      </c>
      <c r="AI544">
        <v>26.731999999999999</v>
      </c>
      <c r="AJ544">
        <v>22.8</v>
      </c>
      <c r="AK544">
        <v>17.82</v>
      </c>
      <c r="AL544">
        <v>20.04</v>
      </c>
      <c r="AM544">
        <v>1001</v>
      </c>
      <c r="AN544">
        <v>28.59</v>
      </c>
      <c r="AO544">
        <v>4.82</v>
      </c>
      <c r="AP544">
        <v>15.5</v>
      </c>
      <c r="AQ544">
        <v>18</v>
      </c>
    </row>
    <row r="545" spans="1:43" x14ac:dyDescent="0.3">
      <c r="A545">
        <v>544</v>
      </c>
      <c r="B545" t="s">
        <v>1538</v>
      </c>
      <c r="C545">
        <v>2024</v>
      </c>
      <c r="D545" t="s">
        <v>1484</v>
      </c>
      <c r="E545">
        <v>71</v>
      </c>
      <c r="F545" t="s">
        <v>1139</v>
      </c>
      <c r="G545" t="s">
        <v>99</v>
      </c>
      <c r="H545" t="s">
        <v>100</v>
      </c>
      <c r="I545" t="s">
        <v>436</v>
      </c>
      <c r="J545" t="s">
        <v>50</v>
      </c>
      <c r="K545">
        <v>5.0999999999999996</v>
      </c>
      <c r="L545">
        <v>1.7</v>
      </c>
      <c r="M545">
        <v>21.6</v>
      </c>
      <c r="N545">
        <v>9608</v>
      </c>
      <c r="O545">
        <v>898</v>
      </c>
      <c r="P545">
        <v>21.6</v>
      </c>
      <c r="Q545">
        <v>328</v>
      </c>
      <c r="R545">
        <v>682</v>
      </c>
      <c r="S545">
        <v>3</v>
      </c>
      <c r="T545" t="s">
        <v>51</v>
      </c>
      <c r="U545">
        <v>32700</v>
      </c>
      <c r="V545">
        <v>2</v>
      </c>
      <c r="W545">
        <v>2</v>
      </c>
      <c r="X545">
        <v>3201</v>
      </c>
      <c r="Y545">
        <v>13.5</v>
      </c>
      <c r="Z545" t="s">
        <v>1308</v>
      </c>
      <c r="AA545">
        <v>66</v>
      </c>
      <c r="AB545">
        <v>34</v>
      </c>
      <c r="AC545" t="s">
        <v>53</v>
      </c>
      <c r="AD545">
        <v>26003</v>
      </c>
      <c r="AE545">
        <v>10004</v>
      </c>
      <c r="AF545">
        <v>616.32000000000005</v>
      </c>
      <c r="AG545">
        <v>35</v>
      </c>
      <c r="AH545">
        <v>12</v>
      </c>
      <c r="AI545">
        <v>56.538228571428569</v>
      </c>
      <c r="AJ545">
        <v>21.88</v>
      </c>
      <c r="AK545">
        <v>70.61</v>
      </c>
      <c r="AL545">
        <v>14.17</v>
      </c>
      <c r="AM545">
        <v>1001</v>
      </c>
      <c r="AN545">
        <v>28.59</v>
      </c>
      <c r="AO545">
        <v>285.76</v>
      </c>
      <c r="AP545">
        <v>13.5</v>
      </c>
      <c r="AQ545">
        <v>2</v>
      </c>
    </row>
    <row r="546" spans="1:43" x14ac:dyDescent="0.3">
      <c r="A546">
        <v>545</v>
      </c>
      <c r="B546" t="s">
        <v>1539</v>
      </c>
      <c r="C546">
        <v>2024</v>
      </c>
      <c r="D546" t="s">
        <v>1484</v>
      </c>
      <c r="E546">
        <v>37</v>
      </c>
      <c r="F546" t="s">
        <v>1139</v>
      </c>
      <c r="G546" t="s">
        <v>286</v>
      </c>
      <c r="H546" t="s">
        <v>48</v>
      </c>
      <c r="I546" t="s">
        <v>1540</v>
      </c>
      <c r="J546" t="s">
        <v>50</v>
      </c>
      <c r="K546">
        <v>6.8</v>
      </c>
      <c r="L546">
        <v>5.9</v>
      </c>
      <c r="M546">
        <v>1.8</v>
      </c>
      <c r="N546">
        <v>1777</v>
      </c>
      <c r="O546">
        <v>1146</v>
      </c>
      <c r="P546">
        <v>1.8</v>
      </c>
      <c r="Q546">
        <v>36</v>
      </c>
      <c r="R546">
        <v>4.2</v>
      </c>
      <c r="S546">
        <v>2.56</v>
      </c>
      <c r="T546" t="s">
        <v>51</v>
      </c>
      <c r="U546">
        <v>12615</v>
      </c>
      <c r="V546">
        <v>17</v>
      </c>
      <c r="W546">
        <v>20</v>
      </c>
      <c r="X546">
        <v>1.143</v>
      </c>
      <c r="Y546">
        <v>14.6</v>
      </c>
      <c r="Z546" t="s">
        <v>124</v>
      </c>
      <c r="AA546">
        <v>37</v>
      </c>
      <c r="AB546">
        <v>63</v>
      </c>
      <c r="AC546" t="s">
        <v>53</v>
      </c>
      <c r="AD546">
        <v>9880</v>
      </c>
      <c r="AE546">
        <v>4298</v>
      </c>
      <c r="AF546">
        <v>1470.93</v>
      </c>
      <c r="AG546">
        <v>24</v>
      </c>
      <c r="AH546">
        <v>95</v>
      </c>
      <c r="AI546">
        <v>29.87127083333333</v>
      </c>
      <c r="AJ546">
        <v>18.23</v>
      </c>
      <c r="AK546">
        <v>14.05</v>
      </c>
      <c r="AL546">
        <v>16.72</v>
      </c>
      <c r="AM546">
        <v>1001</v>
      </c>
      <c r="AN546">
        <v>28.59</v>
      </c>
      <c r="AO546">
        <v>2.76</v>
      </c>
      <c r="AP546">
        <v>14.6</v>
      </c>
      <c r="AQ546">
        <v>17</v>
      </c>
    </row>
    <row r="547" spans="1:43" x14ac:dyDescent="0.3">
      <c r="A547">
        <v>546</v>
      </c>
      <c r="B547" t="s">
        <v>1541</v>
      </c>
      <c r="C547">
        <v>2024</v>
      </c>
      <c r="D547" t="s">
        <v>1484</v>
      </c>
      <c r="E547">
        <v>13</v>
      </c>
      <c r="F547" t="s">
        <v>1139</v>
      </c>
      <c r="G547" t="s">
        <v>590</v>
      </c>
      <c r="H547" t="s">
        <v>100</v>
      </c>
      <c r="I547" t="s">
        <v>1542</v>
      </c>
      <c r="J547" t="s">
        <v>50</v>
      </c>
      <c r="K547">
        <v>6.7</v>
      </c>
      <c r="L547">
        <v>5.9</v>
      </c>
      <c r="M547">
        <v>21</v>
      </c>
      <c r="N547">
        <v>6150</v>
      </c>
      <c r="O547">
        <v>673</v>
      </c>
      <c r="P547">
        <v>21</v>
      </c>
      <c r="Q547">
        <v>213</v>
      </c>
      <c r="R547">
        <v>774</v>
      </c>
      <c r="S547">
        <v>0.64217557251908397</v>
      </c>
      <c r="T547" t="s">
        <v>58</v>
      </c>
      <c r="U547">
        <v>19695</v>
      </c>
      <c r="V547">
        <v>1</v>
      </c>
      <c r="W547">
        <v>2</v>
      </c>
      <c r="X547">
        <v>1048</v>
      </c>
      <c r="Y547">
        <v>18.600000000000001</v>
      </c>
      <c r="Z547" t="s">
        <v>66</v>
      </c>
      <c r="AA547">
        <v>65</v>
      </c>
      <c r="AB547">
        <v>35</v>
      </c>
      <c r="AC547" t="s">
        <v>53</v>
      </c>
      <c r="AD547">
        <v>12065</v>
      </c>
      <c r="AE547">
        <v>4414</v>
      </c>
      <c r="AF547">
        <v>1100.42</v>
      </c>
      <c r="AG547">
        <v>16</v>
      </c>
      <c r="AH547">
        <v>218</v>
      </c>
      <c r="AI547">
        <v>38.128875000000001</v>
      </c>
      <c r="AJ547">
        <v>27.22</v>
      </c>
      <c r="AK547">
        <v>36.06</v>
      </c>
      <c r="AL547">
        <v>6.8</v>
      </c>
      <c r="AM547">
        <v>1001</v>
      </c>
      <c r="AN547">
        <v>28.59</v>
      </c>
      <c r="AO547">
        <v>322.2</v>
      </c>
      <c r="AP547">
        <v>18.600000000000001</v>
      </c>
      <c r="AQ547">
        <v>1</v>
      </c>
    </row>
    <row r="548" spans="1:43" x14ac:dyDescent="0.3">
      <c r="A548">
        <v>547</v>
      </c>
      <c r="B548" t="s">
        <v>1543</v>
      </c>
      <c r="C548">
        <v>2024</v>
      </c>
      <c r="D548" t="s">
        <v>1484</v>
      </c>
      <c r="E548">
        <v>48</v>
      </c>
      <c r="F548" t="s">
        <v>1139</v>
      </c>
      <c r="G548" t="s">
        <v>286</v>
      </c>
      <c r="H548" t="s">
        <v>48</v>
      </c>
      <c r="I548" t="s">
        <v>287</v>
      </c>
      <c r="J548" t="s">
        <v>50</v>
      </c>
      <c r="K548">
        <v>5.2</v>
      </c>
      <c r="L548">
        <v>6.8</v>
      </c>
      <c r="M548">
        <v>1.1000000000000001</v>
      </c>
      <c r="N548">
        <v>5498</v>
      </c>
      <c r="O548">
        <v>31430</v>
      </c>
      <c r="P548">
        <v>1.1000000000000001</v>
      </c>
      <c r="Q548">
        <v>188</v>
      </c>
      <c r="R548">
        <v>25.3</v>
      </c>
      <c r="S548">
        <v>3.1</v>
      </c>
      <c r="T548" t="s">
        <v>77</v>
      </c>
      <c r="U548">
        <v>18646</v>
      </c>
      <c r="V548">
        <v>4</v>
      </c>
      <c r="W548">
        <v>4</v>
      </c>
      <c r="X548">
        <v>4.984</v>
      </c>
      <c r="Y548">
        <v>10.4</v>
      </c>
      <c r="Z548" t="s">
        <v>521</v>
      </c>
      <c r="AA548">
        <v>66</v>
      </c>
      <c r="AB548">
        <v>34</v>
      </c>
      <c r="AC548" t="s">
        <v>53</v>
      </c>
      <c r="AD548">
        <v>15807</v>
      </c>
      <c r="AE548">
        <v>5488</v>
      </c>
      <c r="AF548">
        <v>1470.93</v>
      </c>
      <c r="AG548">
        <v>24</v>
      </c>
      <c r="AH548">
        <v>95</v>
      </c>
      <c r="AI548">
        <v>29.87127083333333</v>
      </c>
      <c r="AJ548">
        <v>18.23</v>
      </c>
      <c r="AK548">
        <v>14.05</v>
      </c>
      <c r="AL548">
        <v>16.72</v>
      </c>
      <c r="AM548">
        <v>1001</v>
      </c>
      <c r="AN548">
        <v>28.59</v>
      </c>
      <c r="AO548">
        <v>10.78</v>
      </c>
      <c r="AP548">
        <v>10.4</v>
      </c>
      <c r="AQ548">
        <v>4</v>
      </c>
    </row>
    <row r="549" spans="1:43" x14ac:dyDescent="0.3">
      <c r="A549">
        <v>548</v>
      </c>
      <c r="B549" t="s">
        <v>1544</v>
      </c>
      <c r="C549">
        <v>2024</v>
      </c>
      <c r="D549" t="s">
        <v>1484</v>
      </c>
      <c r="E549">
        <v>29</v>
      </c>
      <c r="F549" t="s">
        <v>1139</v>
      </c>
      <c r="G549" t="s">
        <v>286</v>
      </c>
      <c r="H549" t="s">
        <v>48</v>
      </c>
      <c r="I549" t="s">
        <v>1077</v>
      </c>
      <c r="J549" t="s">
        <v>50</v>
      </c>
      <c r="K549">
        <v>3.7</v>
      </c>
      <c r="L549">
        <v>3.1</v>
      </c>
      <c r="M549">
        <v>2.2000000000000002</v>
      </c>
      <c r="N549">
        <v>2607</v>
      </c>
      <c r="O549">
        <v>3612</v>
      </c>
      <c r="P549">
        <v>2.2000000000000002</v>
      </c>
      <c r="Q549">
        <v>66</v>
      </c>
      <c r="R549">
        <v>3.4</v>
      </c>
      <c r="S549">
        <v>2.2200000000000002</v>
      </c>
      <c r="T549" t="s">
        <v>96</v>
      </c>
      <c r="U549">
        <v>8345</v>
      </c>
      <c r="V549">
        <v>12</v>
      </c>
      <c r="W549">
        <v>33.039908400000002</v>
      </c>
      <c r="X549">
        <v>1363</v>
      </c>
      <c r="Y549">
        <v>13.4</v>
      </c>
      <c r="Z549" t="s">
        <v>241</v>
      </c>
      <c r="AA549">
        <v>61.392471929999999</v>
      </c>
      <c r="AB549">
        <v>38.607528070000001</v>
      </c>
      <c r="AC549" t="s">
        <v>53</v>
      </c>
      <c r="AD549">
        <v>12788</v>
      </c>
      <c r="AE549">
        <v>4025</v>
      </c>
      <c r="AF549">
        <v>1470.93</v>
      </c>
      <c r="AG549">
        <v>24</v>
      </c>
      <c r="AH549">
        <v>95</v>
      </c>
      <c r="AI549">
        <v>29.87127083333333</v>
      </c>
      <c r="AJ549">
        <v>18.23</v>
      </c>
      <c r="AK549">
        <v>14.05</v>
      </c>
      <c r="AL549">
        <v>16.72</v>
      </c>
      <c r="AM549">
        <v>1001</v>
      </c>
      <c r="AN549">
        <v>28.59</v>
      </c>
      <c r="AO549">
        <v>2.68</v>
      </c>
      <c r="AP549">
        <v>13.4</v>
      </c>
      <c r="AQ549">
        <v>12</v>
      </c>
    </row>
    <row r="550" spans="1:43" x14ac:dyDescent="0.3">
      <c r="A550">
        <v>549</v>
      </c>
      <c r="B550" t="s">
        <v>1545</v>
      </c>
      <c r="C550">
        <v>2024</v>
      </c>
      <c r="D550" t="s">
        <v>1484</v>
      </c>
      <c r="E550">
        <v>135</v>
      </c>
      <c r="F550" t="s">
        <v>1139</v>
      </c>
      <c r="G550" t="s">
        <v>63</v>
      </c>
      <c r="H550" t="s">
        <v>64</v>
      </c>
      <c r="I550" t="s">
        <v>1546</v>
      </c>
      <c r="J550" t="s">
        <v>50</v>
      </c>
      <c r="K550">
        <v>5.2</v>
      </c>
      <c r="L550">
        <v>3</v>
      </c>
      <c r="M550">
        <v>17.100000000000001</v>
      </c>
      <c r="N550">
        <v>6317</v>
      </c>
      <c r="O550">
        <v>405</v>
      </c>
      <c r="P550">
        <v>17.100000000000001</v>
      </c>
      <c r="Q550">
        <v>248</v>
      </c>
      <c r="R550">
        <v>648</v>
      </c>
      <c r="S550">
        <v>0.32091917591125191</v>
      </c>
      <c r="T550" t="s">
        <v>51</v>
      </c>
      <c r="U550">
        <v>32069</v>
      </c>
      <c r="V550">
        <v>5</v>
      </c>
      <c r="W550">
        <v>4</v>
      </c>
      <c r="X550">
        <v>1262</v>
      </c>
      <c r="Y550">
        <v>28.1</v>
      </c>
      <c r="Z550" t="s">
        <v>110</v>
      </c>
      <c r="AA550">
        <v>59</v>
      </c>
      <c r="AB550">
        <v>41</v>
      </c>
      <c r="AC550" t="s">
        <v>53</v>
      </c>
      <c r="AD550">
        <v>26482</v>
      </c>
      <c r="AE550">
        <v>6920</v>
      </c>
      <c r="AF550">
        <v>647.61</v>
      </c>
      <c r="AG550">
        <v>98</v>
      </c>
      <c r="AH550">
        <v>2</v>
      </c>
      <c r="AI550">
        <v>56.843244897959181</v>
      </c>
      <c r="AJ550">
        <v>29.74</v>
      </c>
      <c r="AK550">
        <v>38.11</v>
      </c>
      <c r="AL550">
        <v>19.260000000000002</v>
      </c>
      <c r="AM550">
        <v>1001</v>
      </c>
      <c r="AN550">
        <v>28.59</v>
      </c>
      <c r="AO550">
        <v>269.45999999999998</v>
      </c>
      <c r="AP550">
        <v>28.1</v>
      </c>
      <c r="AQ550">
        <v>5</v>
      </c>
    </row>
    <row r="551" spans="1:43" x14ac:dyDescent="0.3">
      <c r="A551">
        <v>550</v>
      </c>
      <c r="B551" t="s">
        <v>1547</v>
      </c>
      <c r="C551">
        <v>2024</v>
      </c>
      <c r="D551" t="s">
        <v>1484</v>
      </c>
      <c r="E551">
        <v>101</v>
      </c>
      <c r="F551" t="s">
        <v>1139</v>
      </c>
      <c r="G551" t="s">
        <v>47</v>
      </c>
      <c r="H551" t="s">
        <v>48</v>
      </c>
      <c r="I551" t="s">
        <v>47</v>
      </c>
      <c r="J551" t="s">
        <v>50</v>
      </c>
      <c r="K551">
        <v>6.5</v>
      </c>
      <c r="L551">
        <v>12.1</v>
      </c>
      <c r="M551">
        <v>4.9000000000000004</v>
      </c>
      <c r="N551">
        <v>7171</v>
      </c>
      <c r="O551">
        <v>9809</v>
      </c>
      <c r="P551">
        <v>4.9000000000000004</v>
      </c>
      <c r="Q551">
        <v>109</v>
      </c>
      <c r="R551">
        <v>8.4</v>
      </c>
      <c r="S551">
        <v>2.4900000000000002</v>
      </c>
      <c r="T551" t="s">
        <v>77</v>
      </c>
      <c r="U551">
        <v>26580</v>
      </c>
      <c r="V551">
        <v>12</v>
      </c>
      <c r="W551">
        <v>23</v>
      </c>
      <c r="X551">
        <v>1660</v>
      </c>
      <c r="Y551">
        <v>17.7</v>
      </c>
      <c r="Z551" t="s">
        <v>146</v>
      </c>
      <c r="AA551">
        <v>55</v>
      </c>
      <c r="AB551">
        <v>45</v>
      </c>
      <c r="AC551" t="s">
        <v>53</v>
      </c>
      <c r="AD551">
        <v>18415</v>
      </c>
      <c r="AE551">
        <v>11120</v>
      </c>
      <c r="AF551">
        <v>614.48</v>
      </c>
      <c r="AG551">
        <v>69</v>
      </c>
      <c r="AH551">
        <v>1</v>
      </c>
      <c r="AI551">
        <v>50.817340579710141</v>
      </c>
      <c r="AJ551">
        <v>35.82</v>
      </c>
      <c r="AK551">
        <v>38.92</v>
      </c>
      <c r="AL551">
        <v>35.29</v>
      </c>
      <c r="AM551">
        <v>1001</v>
      </c>
      <c r="AN551">
        <v>28.59</v>
      </c>
      <c r="AO551">
        <v>6.3</v>
      </c>
      <c r="AP551">
        <v>17.7</v>
      </c>
      <c r="AQ551">
        <v>12</v>
      </c>
    </row>
    <row r="552" spans="1:43" x14ac:dyDescent="0.3">
      <c r="A552">
        <v>551</v>
      </c>
      <c r="B552" t="s">
        <v>1548</v>
      </c>
      <c r="C552">
        <v>2024</v>
      </c>
      <c r="D552" t="s">
        <v>1484</v>
      </c>
      <c r="E552">
        <v>23</v>
      </c>
      <c r="F552" t="s">
        <v>1139</v>
      </c>
      <c r="G552" t="s">
        <v>755</v>
      </c>
      <c r="H552" t="s">
        <v>48</v>
      </c>
      <c r="I552" t="s">
        <v>1549</v>
      </c>
      <c r="J552" t="s">
        <v>50</v>
      </c>
      <c r="K552">
        <v>6.5</v>
      </c>
      <c r="L552">
        <v>3.6</v>
      </c>
      <c r="M552">
        <v>6.2</v>
      </c>
      <c r="N552">
        <v>6549</v>
      </c>
      <c r="O552">
        <v>55156</v>
      </c>
      <c r="P552">
        <v>6.2</v>
      </c>
      <c r="Q552">
        <v>221</v>
      </c>
      <c r="R552">
        <v>32</v>
      </c>
      <c r="S552">
        <v>3.78</v>
      </c>
      <c r="T552" t="s">
        <v>96</v>
      </c>
      <c r="U552">
        <v>17424</v>
      </c>
      <c r="V552">
        <v>4</v>
      </c>
      <c r="W552">
        <v>6</v>
      </c>
      <c r="X552">
        <v>1.6319999999999999</v>
      </c>
      <c r="Y552">
        <v>12</v>
      </c>
      <c r="Z552" t="s">
        <v>272</v>
      </c>
      <c r="AA552">
        <v>31</v>
      </c>
      <c r="AB552">
        <v>69</v>
      </c>
      <c r="AC552" t="s">
        <v>53</v>
      </c>
      <c r="AD552">
        <v>12035</v>
      </c>
      <c r="AE552">
        <v>4319</v>
      </c>
      <c r="AF552">
        <v>1260.32</v>
      </c>
      <c r="AG552">
        <v>8</v>
      </c>
      <c r="AH552">
        <v>614</v>
      </c>
      <c r="AI552">
        <v>28.03875</v>
      </c>
      <c r="AJ552">
        <v>23.47</v>
      </c>
      <c r="AK552">
        <v>21.97</v>
      </c>
      <c r="AL552">
        <v>11.88</v>
      </c>
      <c r="AM552">
        <v>1001</v>
      </c>
      <c r="AN552">
        <v>28.59</v>
      </c>
      <c r="AO552">
        <v>16.52</v>
      </c>
      <c r="AP552">
        <v>12</v>
      </c>
      <c r="AQ552">
        <v>4</v>
      </c>
    </row>
    <row r="553" spans="1:43" x14ac:dyDescent="0.3">
      <c r="A553">
        <v>552</v>
      </c>
      <c r="B553" t="s">
        <v>1550</v>
      </c>
      <c r="C553">
        <v>2024</v>
      </c>
      <c r="D553" t="s">
        <v>1484</v>
      </c>
      <c r="E553">
        <v>2</v>
      </c>
      <c r="F553" t="s">
        <v>1139</v>
      </c>
      <c r="G553" t="s">
        <v>1397</v>
      </c>
      <c r="H553" t="s">
        <v>48</v>
      </c>
      <c r="I553" t="s">
        <v>1551</v>
      </c>
      <c r="J553" t="s">
        <v>50</v>
      </c>
      <c r="K553">
        <v>9.6999999999999993</v>
      </c>
      <c r="L553">
        <v>7.9</v>
      </c>
      <c r="M553">
        <v>3.6</v>
      </c>
      <c r="N553">
        <v>2095</v>
      </c>
      <c r="O553">
        <v>6531</v>
      </c>
      <c r="P553">
        <v>3.6</v>
      </c>
      <c r="Q553">
        <v>76</v>
      </c>
      <c r="R553">
        <v>9.1999999999999993</v>
      </c>
      <c r="S553">
        <v>2.12</v>
      </c>
      <c r="T553" t="s">
        <v>71</v>
      </c>
      <c r="U553">
        <v>10678</v>
      </c>
      <c r="V553">
        <v>7</v>
      </c>
      <c r="W553">
        <v>19</v>
      </c>
      <c r="X553">
        <v>1.2549999999999999</v>
      </c>
      <c r="Y553">
        <v>8.5</v>
      </c>
      <c r="Z553" t="s">
        <v>182</v>
      </c>
      <c r="AA553">
        <v>33</v>
      </c>
      <c r="AB553">
        <v>67</v>
      </c>
      <c r="AC553" t="s">
        <v>53</v>
      </c>
      <c r="AD553">
        <v>8102</v>
      </c>
      <c r="AE553">
        <v>2707</v>
      </c>
      <c r="AF553">
        <v>1262.8499999999999</v>
      </c>
      <c r="AG553">
        <v>3</v>
      </c>
      <c r="AH553">
        <v>1054</v>
      </c>
      <c r="AI553">
        <v>26.376166666666659</v>
      </c>
      <c r="AJ553">
        <v>14.92</v>
      </c>
      <c r="AK553">
        <v>15.66</v>
      </c>
      <c r="AL553">
        <v>19.95</v>
      </c>
      <c r="AM553">
        <v>1001</v>
      </c>
      <c r="AN553">
        <v>28.59</v>
      </c>
      <c r="AO553">
        <v>5.84</v>
      </c>
      <c r="AP553">
        <v>8.5</v>
      </c>
      <c r="AQ553">
        <v>7</v>
      </c>
    </row>
    <row r="554" spans="1:43" x14ac:dyDescent="0.3">
      <c r="A554">
        <v>553</v>
      </c>
      <c r="B554" t="s">
        <v>1552</v>
      </c>
      <c r="C554">
        <v>2024</v>
      </c>
      <c r="D554" t="s">
        <v>1484</v>
      </c>
      <c r="E554">
        <v>35</v>
      </c>
      <c r="F554" t="s">
        <v>1139</v>
      </c>
      <c r="G554" t="s">
        <v>161</v>
      </c>
      <c r="H554" t="s">
        <v>100</v>
      </c>
      <c r="I554" t="s">
        <v>676</v>
      </c>
      <c r="J554" t="s">
        <v>1272</v>
      </c>
      <c r="K554">
        <v>5</v>
      </c>
      <c r="L554">
        <v>2.9</v>
      </c>
      <c r="M554">
        <v>7.3</v>
      </c>
      <c r="N554">
        <v>1431</v>
      </c>
      <c r="O554">
        <v>898</v>
      </c>
      <c r="P554">
        <v>7.3</v>
      </c>
      <c r="Q554">
        <v>52</v>
      </c>
      <c r="R554">
        <v>881</v>
      </c>
      <c r="S554">
        <v>2.64</v>
      </c>
      <c r="T554" t="s">
        <v>71</v>
      </c>
      <c r="U554">
        <v>10329</v>
      </c>
      <c r="V554">
        <v>6</v>
      </c>
      <c r="W554">
        <v>6</v>
      </c>
      <c r="X554">
        <v>543</v>
      </c>
      <c r="Y554">
        <v>21.4</v>
      </c>
      <c r="Z554" t="s">
        <v>66</v>
      </c>
      <c r="AA554">
        <v>50</v>
      </c>
      <c r="AB554">
        <v>50</v>
      </c>
      <c r="AC554" t="s">
        <v>53</v>
      </c>
      <c r="AD554">
        <v>6882</v>
      </c>
      <c r="AE554">
        <v>2101</v>
      </c>
      <c r="AF554">
        <v>682.03</v>
      </c>
      <c r="AG554">
        <v>18</v>
      </c>
      <c r="AH554">
        <v>62</v>
      </c>
      <c r="AI554">
        <v>43.175027777777778</v>
      </c>
      <c r="AJ554">
        <v>22.69</v>
      </c>
      <c r="AK554">
        <v>33</v>
      </c>
      <c r="AL554">
        <v>15.2</v>
      </c>
      <c r="AM554">
        <v>1001</v>
      </c>
      <c r="AN554">
        <v>28.59</v>
      </c>
      <c r="AO554">
        <v>356.78</v>
      </c>
      <c r="AP554">
        <v>21.4</v>
      </c>
      <c r="AQ554">
        <v>6</v>
      </c>
    </row>
    <row r="555" spans="1:43" x14ac:dyDescent="0.3">
      <c r="A555">
        <v>554</v>
      </c>
      <c r="B555" t="s">
        <v>1553</v>
      </c>
      <c r="C555">
        <v>2024</v>
      </c>
      <c r="D555" t="s">
        <v>1484</v>
      </c>
      <c r="E555">
        <v>8</v>
      </c>
      <c r="F555" t="s">
        <v>1139</v>
      </c>
      <c r="G555" t="s">
        <v>1142</v>
      </c>
      <c r="H555" t="s">
        <v>48</v>
      </c>
      <c r="I555" t="s">
        <v>1554</v>
      </c>
      <c r="J555" t="s">
        <v>65</v>
      </c>
      <c r="K555">
        <v>8.1</v>
      </c>
      <c r="L555">
        <v>24.7</v>
      </c>
      <c r="M555">
        <v>1.6</v>
      </c>
      <c r="N555">
        <v>3461</v>
      </c>
      <c r="O555">
        <v>3103</v>
      </c>
      <c r="P555">
        <v>1.6</v>
      </c>
      <c r="Q555">
        <v>61</v>
      </c>
      <c r="R555">
        <v>7.6</v>
      </c>
      <c r="S555">
        <v>3</v>
      </c>
      <c r="T555" t="s">
        <v>58</v>
      </c>
      <c r="U555">
        <v>9573</v>
      </c>
      <c r="V555">
        <v>5</v>
      </c>
      <c r="W555">
        <v>6</v>
      </c>
      <c r="X555">
        <v>688</v>
      </c>
      <c r="Y555">
        <v>14.8</v>
      </c>
      <c r="Z555" t="s">
        <v>408</v>
      </c>
      <c r="AA555">
        <v>44</v>
      </c>
      <c r="AB555">
        <v>56</v>
      </c>
      <c r="AC555" t="s">
        <v>53</v>
      </c>
      <c r="AD555">
        <v>7726</v>
      </c>
      <c r="AE555">
        <v>4334</v>
      </c>
      <c r="AF555">
        <v>969.17</v>
      </c>
      <c r="AG555">
        <v>8</v>
      </c>
      <c r="AH555">
        <v>779</v>
      </c>
      <c r="AI555">
        <v>28.816500000000001</v>
      </c>
      <c r="AJ555">
        <v>22.44</v>
      </c>
      <c r="AK555">
        <v>17.559999999999999</v>
      </c>
      <c r="AL555">
        <v>17.809999999999999</v>
      </c>
      <c r="AM555">
        <v>1001</v>
      </c>
      <c r="AN555">
        <v>28.59</v>
      </c>
      <c r="AO555">
        <v>4</v>
      </c>
      <c r="AP555">
        <v>14.8</v>
      </c>
      <c r="AQ555">
        <v>5</v>
      </c>
    </row>
    <row r="556" spans="1:43" x14ac:dyDescent="0.3">
      <c r="A556">
        <v>555</v>
      </c>
      <c r="B556" t="s">
        <v>1555</v>
      </c>
      <c r="C556">
        <v>2024</v>
      </c>
      <c r="D556" t="s">
        <v>1484</v>
      </c>
      <c r="E556">
        <v>37</v>
      </c>
      <c r="F556" t="s">
        <v>1139</v>
      </c>
      <c r="G556" t="s">
        <v>532</v>
      </c>
      <c r="H556" t="s">
        <v>100</v>
      </c>
      <c r="I556" t="s">
        <v>1556</v>
      </c>
      <c r="J556" t="s">
        <v>50</v>
      </c>
      <c r="K556">
        <v>5.7</v>
      </c>
      <c r="L556">
        <v>2.2999999999999998</v>
      </c>
      <c r="M556">
        <v>3.2</v>
      </c>
      <c r="N556">
        <v>8449</v>
      </c>
      <c r="O556">
        <v>12111</v>
      </c>
      <c r="P556">
        <v>3.2</v>
      </c>
      <c r="Q556">
        <v>105</v>
      </c>
      <c r="R556">
        <v>8.3000000000000007</v>
      </c>
      <c r="S556">
        <v>3.02</v>
      </c>
      <c r="T556" t="s">
        <v>77</v>
      </c>
      <c r="U556">
        <v>61471</v>
      </c>
      <c r="V556">
        <v>2</v>
      </c>
      <c r="W556">
        <v>2</v>
      </c>
      <c r="X556">
        <v>2497</v>
      </c>
      <c r="Y556">
        <v>24.4</v>
      </c>
      <c r="Z556" t="s">
        <v>138</v>
      </c>
      <c r="AA556">
        <v>63</v>
      </c>
      <c r="AB556">
        <v>37</v>
      </c>
      <c r="AC556" t="s">
        <v>53</v>
      </c>
      <c r="AD556">
        <v>25859</v>
      </c>
      <c r="AE556">
        <v>20131</v>
      </c>
      <c r="AF556">
        <v>788.07</v>
      </c>
      <c r="AG556">
        <v>9</v>
      </c>
      <c r="AH556">
        <v>424</v>
      </c>
      <c r="AI556">
        <v>39.266333333333343</v>
      </c>
      <c r="AJ556">
        <v>28.29</v>
      </c>
      <c r="AK556">
        <v>30.02</v>
      </c>
      <c r="AL556">
        <v>13.2</v>
      </c>
      <c r="AM556">
        <v>1001</v>
      </c>
      <c r="AN556">
        <v>28.59</v>
      </c>
      <c r="AO556">
        <v>5.24</v>
      </c>
      <c r="AP556">
        <v>24.4</v>
      </c>
      <c r="AQ556">
        <v>2</v>
      </c>
    </row>
    <row r="557" spans="1:43" x14ac:dyDescent="0.3">
      <c r="A557">
        <v>556</v>
      </c>
      <c r="B557" t="s">
        <v>1557</v>
      </c>
      <c r="C557">
        <v>2024</v>
      </c>
      <c r="D557" t="s">
        <v>1484</v>
      </c>
      <c r="E557">
        <v>18</v>
      </c>
      <c r="F557" t="s">
        <v>1139</v>
      </c>
      <c r="G557" t="s">
        <v>642</v>
      </c>
      <c r="H557" t="s">
        <v>48</v>
      </c>
      <c r="I557" t="s">
        <v>1558</v>
      </c>
      <c r="J557" t="s">
        <v>50</v>
      </c>
      <c r="K557">
        <v>4.3</v>
      </c>
      <c r="L557">
        <v>3.2</v>
      </c>
      <c r="M557">
        <v>4.3</v>
      </c>
      <c r="N557">
        <v>1465</v>
      </c>
      <c r="O557">
        <v>4853</v>
      </c>
      <c r="P557">
        <v>4.3</v>
      </c>
      <c r="Q557">
        <v>65</v>
      </c>
      <c r="R557">
        <v>7.4</v>
      </c>
      <c r="S557">
        <v>2.36</v>
      </c>
      <c r="T557" t="s">
        <v>77</v>
      </c>
      <c r="U557">
        <v>5303</v>
      </c>
      <c r="V557">
        <v>10</v>
      </c>
      <c r="W557">
        <v>10</v>
      </c>
      <c r="X557">
        <v>543</v>
      </c>
      <c r="Y557">
        <v>13.3</v>
      </c>
      <c r="Z557" t="s">
        <v>87</v>
      </c>
      <c r="AA557">
        <v>53</v>
      </c>
      <c r="AB557">
        <v>47</v>
      </c>
      <c r="AC557" t="s">
        <v>53</v>
      </c>
      <c r="AD557">
        <v>3482</v>
      </c>
      <c r="AE557">
        <v>2083</v>
      </c>
      <c r="AF557">
        <v>1055.02</v>
      </c>
      <c r="AG557">
        <v>11</v>
      </c>
      <c r="AH557">
        <v>459</v>
      </c>
      <c r="AI557">
        <v>29.911909090909091</v>
      </c>
      <c r="AJ557">
        <v>21.19</v>
      </c>
      <c r="AK557">
        <v>18.600000000000001</v>
      </c>
      <c r="AL557">
        <v>18.350000000000001</v>
      </c>
      <c r="AM557">
        <v>1001</v>
      </c>
      <c r="AN557">
        <v>28.59</v>
      </c>
      <c r="AO557">
        <v>5.54</v>
      </c>
      <c r="AP557">
        <v>13.3</v>
      </c>
      <c r="AQ557">
        <v>10</v>
      </c>
    </row>
    <row r="558" spans="1:43" x14ac:dyDescent="0.3">
      <c r="A558">
        <v>557</v>
      </c>
      <c r="B558" t="s">
        <v>1559</v>
      </c>
      <c r="C558">
        <v>2024</v>
      </c>
      <c r="D558" t="s">
        <v>1484</v>
      </c>
      <c r="E558">
        <v>13</v>
      </c>
      <c r="F558" t="s">
        <v>1139</v>
      </c>
      <c r="G558" t="s">
        <v>706</v>
      </c>
      <c r="H558" t="s">
        <v>100</v>
      </c>
      <c r="I558" t="s">
        <v>707</v>
      </c>
      <c r="J558" t="s">
        <v>65</v>
      </c>
      <c r="K558">
        <v>7.4</v>
      </c>
      <c r="L558">
        <v>9.4</v>
      </c>
      <c r="M558">
        <v>1.4</v>
      </c>
      <c r="N558">
        <v>2029</v>
      </c>
      <c r="O558">
        <v>2189</v>
      </c>
      <c r="P558">
        <v>1.4</v>
      </c>
      <c r="Q558">
        <v>51</v>
      </c>
      <c r="R558">
        <v>8</v>
      </c>
      <c r="S558">
        <v>2.4700000000000002</v>
      </c>
      <c r="T558" t="s">
        <v>58</v>
      </c>
      <c r="U558">
        <v>18956</v>
      </c>
      <c r="V558">
        <v>3</v>
      </c>
      <c r="W558">
        <v>10</v>
      </c>
      <c r="X558">
        <v>1794</v>
      </c>
      <c r="Y558">
        <v>16.8</v>
      </c>
      <c r="Z558" t="s">
        <v>78</v>
      </c>
      <c r="AA558">
        <v>41</v>
      </c>
      <c r="AB558">
        <v>59</v>
      </c>
      <c r="AC558" t="s">
        <v>53</v>
      </c>
      <c r="AD558">
        <v>9498</v>
      </c>
      <c r="AE558">
        <v>8591</v>
      </c>
      <c r="AF558">
        <v>1323.15</v>
      </c>
      <c r="AG558">
        <v>11</v>
      </c>
      <c r="AH558">
        <v>1332</v>
      </c>
      <c r="AI558">
        <v>21.125681818181821</v>
      </c>
      <c r="AJ558">
        <v>23.15</v>
      </c>
      <c r="AK558">
        <v>10.65</v>
      </c>
      <c r="AL558">
        <v>6.33</v>
      </c>
      <c r="AM558">
        <v>1001</v>
      </c>
      <c r="AN558">
        <v>28.59</v>
      </c>
      <c r="AO558">
        <v>4.04</v>
      </c>
      <c r="AP558">
        <v>16.8</v>
      </c>
      <c r="AQ558">
        <v>3</v>
      </c>
    </row>
    <row r="559" spans="1:43" x14ac:dyDescent="0.3">
      <c r="A559">
        <v>558</v>
      </c>
      <c r="B559" t="s">
        <v>1560</v>
      </c>
      <c r="C559">
        <v>2024</v>
      </c>
      <c r="D559" t="s">
        <v>1484</v>
      </c>
      <c r="E559">
        <v>40</v>
      </c>
      <c r="F559" t="s">
        <v>1139</v>
      </c>
      <c r="G559" t="s">
        <v>131</v>
      </c>
      <c r="H559" t="s">
        <v>100</v>
      </c>
      <c r="I559" t="s">
        <v>1561</v>
      </c>
      <c r="J559" t="s">
        <v>65</v>
      </c>
      <c r="K559">
        <v>11.4</v>
      </c>
      <c r="L559">
        <v>6.4</v>
      </c>
      <c r="M559">
        <v>3</v>
      </c>
      <c r="N559">
        <v>9139</v>
      </c>
      <c r="O559">
        <v>898</v>
      </c>
      <c r="P559">
        <v>3</v>
      </c>
      <c r="Q559">
        <v>136</v>
      </c>
      <c r="R559">
        <v>792</v>
      </c>
      <c r="S559">
        <v>0.4319384319384319</v>
      </c>
      <c r="T559" t="s">
        <v>51</v>
      </c>
      <c r="U559">
        <v>28334</v>
      </c>
      <c r="V559">
        <v>4</v>
      </c>
      <c r="W559">
        <v>5</v>
      </c>
      <c r="X559">
        <v>2079</v>
      </c>
      <c r="Y559">
        <v>16</v>
      </c>
      <c r="Z559" t="s">
        <v>592</v>
      </c>
      <c r="AA559">
        <v>29</v>
      </c>
      <c r="AB559">
        <v>71</v>
      </c>
      <c r="AC559" t="s">
        <v>53</v>
      </c>
      <c r="AD559">
        <v>20037</v>
      </c>
      <c r="AE559">
        <v>8737</v>
      </c>
      <c r="AF559">
        <v>1349.57</v>
      </c>
      <c r="AG559">
        <v>37</v>
      </c>
      <c r="AH559">
        <v>29</v>
      </c>
      <c r="AI559">
        <v>35.237824324324329</v>
      </c>
      <c r="AJ559">
        <v>25.61</v>
      </c>
      <c r="AK559">
        <v>22.27</v>
      </c>
      <c r="AL559">
        <v>5.48</v>
      </c>
      <c r="AM559">
        <v>1001</v>
      </c>
      <c r="AN559">
        <v>28.59</v>
      </c>
      <c r="AO559">
        <v>318.60000000000002</v>
      </c>
      <c r="AP559">
        <v>16</v>
      </c>
      <c r="AQ559">
        <v>4</v>
      </c>
    </row>
    <row r="560" spans="1:43" x14ac:dyDescent="0.3">
      <c r="A560">
        <v>559</v>
      </c>
      <c r="B560" t="s">
        <v>1562</v>
      </c>
      <c r="C560">
        <v>2024</v>
      </c>
      <c r="D560" t="s">
        <v>1484</v>
      </c>
      <c r="E560">
        <v>33</v>
      </c>
      <c r="F560" t="s">
        <v>1139</v>
      </c>
      <c r="G560" t="s">
        <v>131</v>
      </c>
      <c r="H560" t="s">
        <v>100</v>
      </c>
      <c r="I560" t="s">
        <v>1563</v>
      </c>
      <c r="J560" t="s">
        <v>50</v>
      </c>
      <c r="K560">
        <v>4.8</v>
      </c>
      <c r="L560">
        <v>1.9</v>
      </c>
      <c r="M560">
        <v>6.6</v>
      </c>
      <c r="N560">
        <v>1354</v>
      </c>
      <c r="O560">
        <v>1001</v>
      </c>
      <c r="P560">
        <v>6.6</v>
      </c>
      <c r="Q560">
        <v>72</v>
      </c>
      <c r="R560">
        <v>736</v>
      </c>
      <c r="S560">
        <v>1.035160289555326</v>
      </c>
      <c r="T560" t="s">
        <v>71</v>
      </c>
      <c r="U560">
        <v>7482</v>
      </c>
      <c r="V560">
        <v>2</v>
      </c>
      <c r="W560">
        <v>2</v>
      </c>
      <c r="X560">
        <v>967</v>
      </c>
      <c r="Y560">
        <v>9.6999999999999993</v>
      </c>
      <c r="Z560" t="s">
        <v>386</v>
      </c>
      <c r="AA560">
        <v>36</v>
      </c>
      <c r="AB560">
        <v>64</v>
      </c>
      <c r="AC560" t="s">
        <v>53</v>
      </c>
      <c r="AD560">
        <v>4826</v>
      </c>
      <c r="AE560">
        <v>2569</v>
      </c>
      <c r="AF560">
        <v>1349.57</v>
      </c>
      <c r="AG560">
        <v>37</v>
      </c>
      <c r="AH560">
        <v>29</v>
      </c>
      <c r="AI560">
        <v>35.237824324324329</v>
      </c>
      <c r="AJ560">
        <v>25.61</v>
      </c>
      <c r="AK560">
        <v>22.27</v>
      </c>
      <c r="AL560">
        <v>5.48</v>
      </c>
      <c r="AM560">
        <v>1001</v>
      </c>
      <c r="AN560">
        <v>28.59</v>
      </c>
      <c r="AO560">
        <v>298.36</v>
      </c>
      <c r="AP560">
        <v>9.6999999999999993</v>
      </c>
      <c r="AQ560">
        <v>2</v>
      </c>
    </row>
    <row r="561" spans="1:43" x14ac:dyDescent="0.3">
      <c r="A561">
        <v>560</v>
      </c>
      <c r="B561" t="s">
        <v>1564</v>
      </c>
      <c r="C561">
        <v>2024</v>
      </c>
      <c r="D561" t="s">
        <v>1484</v>
      </c>
      <c r="E561">
        <v>11</v>
      </c>
      <c r="F561" t="s">
        <v>1139</v>
      </c>
      <c r="G561" t="s">
        <v>1565</v>
      </c>
      <c r="H561" t="s">
        <v>1210</v>
      </c>
      <c r="I561" t="s">
        <v>1566</v>
      </c>
      <c r="J561" t="s">
        <v>50</v>
      </c>
      <c r="K561">
        <v>18.2</v>
      </c>
      <c r="L561">
        <v>15</v>
      </c>
      <c r="M561">
        <v>2</v>
      </c>
      <c r="N561">
        <v>7450</v>
      </c>
      <c r="O561">
        <v>4445</v>
      </c>
      <c r="P561">
        <v>2</v>
      </c>
      <c r="Q561">
        <v>70</v>
      </c>
      <c r="R561">
        <v>13.4</v>
      </c>
      <c r="S561">
        <v>2.83</v>
      </c>
      <c r="T561" t="s">
        <v>96</v>
      </c>
      <c r="U561">
        <v>33442</v>
      </c>
      <c r="V561">
        <v>1</v>
      </c>
      <c r="W561">
        <v>1</v>
      </c>
      <c r="X561">
        <v>1.825</v>
      </c>
      <c r="Y561">
        <v>8.9</v>
      </c>
      <c r="Z561" t="s">
        <v>133</v>
      </c>
      <c r="AA561">
        <v>50</v>
      </c>
      <c r="AB561">
        <v>50</v>
      </c>
      <c r="AC561" t="s">
        <v>53</v>
      </c>
      <c r="AD561">
        <v>22268</v>
      </c>
      <c r="AE561">
        <v>11261</v>
      </c>
      <c r="AF561">
        <v>1411.06</v>
      </c>
      <c r="AG561">
        <v>2</v>
      </c>
      <c r="AH561">
        <v>1236</v>
      </c>
      <c r="AI561">
        <v>22.158000000000001</v>
      </c>
      <c r="AJ561">
        <v>26.08</v>
      </c>
      <c r="AK561">
        <v>14.61</v>
      </c>
      <c r="AL561">
        <v>7.46</v>
      </c>
      <c r="AM561">
        <v>1001</v>
      </c>
      <c r="AN561">
        <v>28.59</v>
      </c>
      <c r="AO561">
        <v>6.56</v>
      </c>
      <c r="AP561">
        <v>8.9</v>
      </c>
      <c r="AQ561">
        <v>1</v>
      </c>
    </row>
    <row r="562" spans="1:43" x14ac:dyDescent="0.3">
      <c r="A562">
        <v>561</v>
      </c>
      <c r="B562" t="s">
        <v>1567</v>
      </c>
      <c r="C562">
        <v>2024</v>
      </c>
      <c r="D562" t="s">
        <v>1484</v>
      </c>
      <c r="E562">
        <v>16</v>
      </c>
      <c r="F562" t="s">
        <v>1139</v>
      </c>
      <c r="G562" t="s">
        <v>706</v>
      </c>
      <c r="H562" t="s">
        <v>100</v>
      </c>
      <c r="I562" t="s">
        <v>1568</v>
      </c>
      <c r="J562" t="s">
        <v>50</v>
      </c>
      <c r="K562">
        <v>10.7</v>
      </c>
      <c r="L562">
        <v>11.5</v>
      </c>
      <c r="M562">
        <v>1.5</v>
      </c>
      <c r="N562">
        <v>6380</v>
      </c>
      <c r="O562">
        <v>69952</v>
      </c>
      <c r="P562">
        <v>1.5</v>
      </c>
      <c r="Q562">
        <v>222</v>
      </c>
      <c r="R562">
        <v>39.1</v>
      </c>
      <c r="S562">
        <v>3.34</v>
      </c>
      <c r="T562" t="s">
        <v>77</v>
      </c>
      <c r="U562">
        <v>27580</v>
      </c>
      <c r="V562">
        <v>2</v>
      </c>
      <c r="W562">
        <v>3</v>
      </c>
      <c r="X562">
        <v>1829</v>
      </c>
      <c r="Y562">
        <v>16.899999999999999</v>
      </c>
      <c r="Z562" t="s">
        <v>620</v>
      </c>
      <c r="AA562">
        <v>65</v>
      </c>
      <c r="AB562">
        <v>35</v>
      </c>
      <c r="AC562" t="s">
        <v>53</v>
      </c>
      <c r="AD562">
        <v>17327</v>
      </c>
      <c r="AE562">
        <v>10277</v>
      </c>
      <c r="AF562">
        <v>1323.15</v>
      </c>
      <c r="AG562">
        <v>11</v>
      </c>
      <c r="AH562">
        <v>1332</v>
      </c>
      <c r="AI562">
        <v>21.125681818181821</v>
      </c>
      <c r="AJ562">
        <v>23.15</v>
      </c>
      <c r="AK562">
        <v>10.65</v>
      </c>
      <c r="AL562">
        <v>6.33</v>
      </c>
      <c r="AM562">
        <v>1001</v>
      </c>
      <c r="AN562">
        <v>28.59</v>
      </c>
      <c r="AO562">
        <v>16.54</v>
      </c>
      <c r="AP562">
        <v>16.899999999999999</v>
      </c>
      <c r="AQ562">
        <v>2</v>
      </c>
    </row>
    <row r="563" spans="1:43" x14ac:dyDescent="0.3">
      <c r="A563">
        <v>562</v>
      </c>
      <c r="B563" t="s">
        <v>1569</v>
      </c>
      <c r="C563">
        <v>2024</v>
      </c>
      <c r="D563" t="s">
        <v>1484</v>
      </c>
      <c r="E563">
        <v>58</v>
      </c>
      <c r="F563" t="s">
        <v>1139</v>
      </c>
      <c r="G563" t="s">
        <v>155</v>
      </c>
      <c r="H563" t="s">
        <v>48</v>
      </c>
      <c r="I563" t="s">
        <v>1570</v>
      </c>
      <c r="J563" t="s">
        <v>50</v>
      </c>
      <c r="K563">
        <v>8.6999999999999993</v>
      </c>
      <c r="L563">
        <v>2</v>
      </c>
      <c r="M563">
        <v>6.2</v>
      </c>
      <c r="N563">
        <v>2752</v>
      </c>
      <c r="O563">
        <v>16258</v>
      </c>
      <c r="P563">
        <v>6.2</v>
      </c>
      <c r="Q563">
        <v>134</v>
      </c>
      <c r="R563">
        <v>9.8000000000000007</v>
      </c>
      <c r="S563">
        <v>1.1399999999999999</v>
      </c>
      <c r="T563" t="s">
        <v>77</v>
      </c>
      <c r="U563">
        <v>29280</v>
      </c>
      <c r="V563">
        <v>11</v>
      </c>
      <c r="W563">
        <v>13</v>
      </c>
      <c r="X563">
        <v>1308</v>
      </c>
      <c r="Y563">
        <v>31.5</v>
      </c>
      <c r="Z563" t="s">
        <v>457</v>
      </c>
      <c r="AA563">
        <v>59</v>
      </c>
      <c r="AB563">
        <v>41</v>
      </c>
      <c r="AC563" t="s">
        <v>53</v>
      </c>
      <c r="AD563">
        <v>21200</v>
      </c>
      <c r="AE563">
        <v>6805</v>
      </c>
      <c r="AF563">
        <v>858.67</v>
      </c>
      <c r="AG563">
        <v>9</v>
      </c>
      <c r="AH563">
        <v>58</v>
      </c>
      <c r="AI563">
        <v>54.703833333333343</v>
      </c>
      <c r="AJ563">
        <v>33.89</v>
      </c>
      <c r="AK563">
        <v>35.92</v>
      </c>
      <c r="AL563">
        <v>20.8</v>
      </c>
      <c r="AM563">
        <v>1001</v>
      </c>
      <c r="AN563">
        <v>28.59</v>
      </c>
      <c r="AO563">
        <v>7.64</v>
      </c>
      <c r="AP563">
        <v>31.5</v>
      </c>
      <c r="AQ563">
        <v>11</v>
      </c>
    </row>
    <row r="564" spans="1:43" x14ac:dyDescent="0.3">
      <c r="A564">
        <v>563</v>
      </c>
      <c r="B564" t="s">
        <v>1571</v>
      </c>
      <c r="C564">
        <v>2024</v>
      </c>
      <c r="D564" t="s">
        <v>1484</v>
      </c>
      <c r="E564">
        <v>29</v>
      </c>
      <c r="F564" t="s">
        <v>1139</v>
      </c>
      <c r="G564" t="s">
        <v>1123</v>
      </c>
      <c r="H564" t="s">
        <v>100</v>
      </c>
      <c r="I564" t="s">
        <v>1572</v>
      </c>
      <c r="J564" t="s">
        <v>50</v>
      </c>
      <c r="K564">
        <v>7.3</v>
      </c>
      <c r="L564">
        <v>5.5</v>
      </c>
      <c r="M564">
        <v>7.5</v>
      </c>
      <c r="N564">
        <v>2389</v>
      </c>
      <c r="O564">
        <v>4589</v>
      </c>
      <c r="P564">
        <v>7.5</v>
      </c>
      <c r="Q564">
        <v>66</v>
      </c>
      <c r="R564">
        <v>12.2</v>
      </c>
      <c r="S564">
        <v>3.94</v>
      </c>
      <c r="T564" t="s">
        <v>96</v>
      </c>
      <c r="U564">
        <v>10836</v>
      </c>
      <c r="V564">
        <v>3</v>
      </c>
      <c r="W564">
        <v>3</v>
      </c>
      <c r="X564">
        <v>1.127</v>
      </c>
      <c r="Y564">
        <v>13.6</v>
      </c>
      <c r="Z564" t="s">
        <v>72</v>
      </c>
      <c r="AA564">
        <v>47</v>
      </c>
      <c r="AB564">
        <v>53</v>
      </c>
      <c r="AC564" t="s">
        <v>53</v>
      </c>
      <c r="AD564">
        <v>7095</v>
      </c>
      <c r="AE564">
        <v>3375</v>
      </c>
      <c r="AF564">
        <v>795.19</v>
      </c>
      <c r="AG564">
        <v>8</v>
      </c>
      <c r="AH564">
        <v>685</v>
      </c>
      <c r="AI564">
        <v>29.588437500000001</v>
      </c>
      <c r="AJ564">
        <v>29.39</v>
      </c>
      <c r="AK564">
        <v>22.69</v>
      </c>
      <c r="AL564">
        <v>21.22</v>
      </c>
      <c r="AM564">
        <v>1001</v>
      </c>
      <c r="AN564">
        <v>28.59</v>
      </c>
      <c r="AO564">
        <v>9.3800000000000008</v>
      </c>
      <c r="AP564">
        <v>13.6</v>
      </c>
      <c r="AQ564">
        <v>3</v>
      </c>
    </row>
    <row r="565" spans="1:43" x14ac:dyDescent="0.3">
      <c r="A565">
        <v>564</v>
      </c>
      <c r="B565" t="s">
        <v>1573</v>
      </c>
      <c r="C565">
        <v>2024</v>
      </c>
      <c r="D565" t="s">
        <v>1484</v>
      </c>
      <c r="E565">
        <v>39</v>
      </c>
      <c r="F565" t="s">
        <v>1139</v>
      </c>
      <c r="G565" t="s">
        <v>1123</v>
      </c>
      <c r="H565" t="s">
        <v>100</v>
      </c>
      <c r="I565" t="s">
        <v>1574</v>
      </c>
      <c r="J565" t="s">
        <v>50</v>
      </c>
      <c r="K565">
        <v>13.6</v>
      </c>
      <c r="L565">
        <v>10</v>
      </c>
      <c r="M565">
        <v>3.3</v>
      </c>
      <c r="N565">
        <v>2625</v>
      </c>
      <c r="O565">
        <v>14810</v>
      </c>
      <c r="P565">
        <v>3.3</v>
      </c>
      <c r="Q565">
        <v>129</v>
      </c>
      <c r="R565">
        <v>24</v>
      </c>
      <c r="S565">
        <v>2.64</v>
      </c>
      <c r="T565" t="s">
        <v>71</v>
      </c>
      <c r="U565">
        <v>17316</v>
      </c>
      <c r="V565">
        <v>4</v>
      </c>
      <c r="W565">
        <v>4</v>
      </c>
      <c r="X565">
        <v>913</v>
      </c>
      <c r="Y565">
        <v>16.600000000000001</v>
      </c>
      <c r="Z565" t="s">
        <v>368</v>
      </c>
      <c r="AA565">
        <v>66</v>
      </c>
      <c r="AB565">
        <v>34</v>
      </c>
      <c r="AC565" t="s">
        <v>53</v>
      </c>
      <c r="AD565">
        <v>10853</v>
      </c>
      <c r="AE565">
        <v>5371</v>
      </c>
      <c r="AF565">
        <v>795.19</v>
      </c>
      <c r="AG565">
        <v>8</v>
      </c>
      <c r="AH565">
        <v>685</v>
      </c>
      <c r="AI565">
        <v>29.588437500000001</v>
      </c>
      <c r="AJ565">
        <v>29.39</v>
      </c>
      <c r="AK565">
        <v>22.69</v>
      </c>
      <c r="AL565">
        <v>21.22</v>
      </c>
      <c r="AM565">
        <v>1001</v>
      </c>
      <c r="AN565">
        <v>28.59</v>
      </c>
      <c r="AO565">
        <v>11.58</v>
      </c>
      <c r="AP565">
        <v>16.600000000000001</v>
      </c>
      <c r="AQ565">
        <v>4</v>
      </c>
    </row>
    <row r="566" spans="1:43" x14ac:dyDescent="0.3">
      <c r="A566">
        <v>565</v>
      </c>
      <c r="B566" t="s">
        <v>1575</v>
      </c>
      <c r="C566">
        <v>2024</v>
      </c>
      <c r="D566" t="s">
        <v>1484</v>
      </c>
      <c r="E566">
        <v>29</v>
      </c>
      <c r="F566" t="s">
        <v>1139</v>
      </c>
      <c r="G566" t="s">
        <v>1123</v>
      </c>
      <c r="H566" t="s">
        <v>100</v>
      </c>
      <c r="I566" t="s">
        <v>1576</v>
      </c>
      <c r="J566" t="s">
        <v>50</v>
      </c>
      <c r="K566">
        <v>12.6</v>
      </c>
      <c r="L566">
        <v>8.6999999999999993</v>
      </c>
      <c r="M566">
        <v>3</v>
      </c>
      <c r="N566">
        <v>4328</v>
      </c>
      <c r="O566">
        <v>4053</v>
      </c>
      <c r="P566">
        <v>3</v>
      </c>
      <c r="Q566">
        <v>71</v>
      </c>
      <c r="R566">
        <v>13.4</v>
      </c>
      <c r="S566">
        <v>3.54</v>
      </c>
      <c r="T566" t="s">
        <v>58</v>
      </c>
      <c r="U566">
        <v>12158</v>
      </c>
      <c r="V566">
        <v>13</v>
      </c>
      <c r="W566">
        <v>14</v>
      </c>
      <c r="X566">
        <v>894</v>
      </c>
      <c r="Y566">
        <v>14.9</v>
      </c>
      <c r="Z566" t="s">
        <v>1519</v>
      </c>
      <c r="AA566">
        <v>70</v>
      </c>
      <c r="AB566">
        <v>30</v>
      </c>
      <c r="AC566" t="s">
        <v>53</v>
      </c>
      <c r="AD566">
        <v>6017</v>
      </c>
      <c r="AE566">
        <v>5964</v>
      </c>
      <c r="AF566">
        <v>795.19</v>
      </c>
      <c r="AG566">
        <v>8</v>
      </c>
      <c r="AH566">
        <v>685</v>
      </c>
      <c r="AI566">
        <v>29.588437500000001</v>
      </c>
      <c r="AJ566">
        <v>29.39</v>
      </c>
      <c r="AK566">
        <v>22.69</v>
      </c>
      <c r="AL566">
        <v>21.22</v>
      </c>
      <c r="AM566">
        <v>1001</v>
      </c>
      <c r="AN566">
        <v>28.59</v>
      </c>
      <c r="AO566">
        <v>7.16</v>
      </c>
      <c r="AP566">
        <v>14.9</v>
      </c>
      <c r="AQ566">
        <v>13</v>
      </c>
    </row>
    <row r="567" spans="1:43" x14ac:dyDescent="0.3">
      <c r="A567">
        <v>566</v>
      </c>
      <c r="B567" t="s">
        <v>1577</v>
      </c>
      <c r="C567">
        <v>2024</v>
      </c>
      <c r="D567" t="s">
        <v>1484</v>
      </c>
      <c r="E567">
        <v>23</v>
      </c>
      <c r="F567" t="s">
        <v>1139</v>
      </c>
      <c r="G567" t="s">
        <v>1123</v>
      </c>
      <c r="H567" t="s">
        <v>100</v>
      </c>
      <c r="I567" t="s">
        <v>1578</v>
      </c>
      <c r="J567" t="s">
        <v>50</v>
      </c>
      <c r="K567">
        <v>10</v>
      </c>
      <c r="L567">
        <v>4.5999999999999996</v>
      </c>
      <c r="M567">
        <v>9.3000000000000007</v>
      </c>
      <c r="N567">
        <v>2561</v>
      </c>
      <c r="O567">
        <v>10657</v>
      </c>
      <c r="P567">
        <v>9.3000000000000007</v>
      </c>
      <c r="Q567">
        <v>123</v>
      </c>
      <c r="R567">
        <v>22.8</v>
      </c>
      <c r="S567">
        <v>3.14</v>
      </c>
      <c r="T567" t="s">
        <v>71</v>
      </c>
      <c r="U567">
        <v>10143</v>
      </c>
      <c r="V567">
        <v>5</v>
      </c>
      <c r="W567">
        <v>11</v>
      </c>
      <c r="X567">
        <v>652</v>
      </c>
      <c r="Y567">
        <v>16.8</v>
      </c>
      <c r="Z567" t="s">
        <v>1308</v>
      </c>
      <c r="AA567">
        <v>69</v>
      </c>
      <c r="AB567">
        <v>31</v>
      </c>
      <c r="AC567" t="s">
        <v>53</v>
      </c>
      <c r="AD567">
        <v>5435</v>
      </c>
      <c r="AE567">
        <v>3602</v>
      </c>
      <c r="AF567">
        <v>795.19</v>
      </c>
      <c r="AG567">
        <v>8</v>
      </c>
      <c r="AH567">
        <v>685</v>
      </c>
      <c r="AI567">
        <v>29.588437500000001</v>
      </c>
      <c r="AJ567">
        <v>29.39</v>
      </c>
      <c r="AK567">
        <v>22.69</v>
      </c>
      <c r="AL567">
        <v>21.22</v>
      </c>
      <c r="AM567">
        <v>1001</v>
      </c>
      <c r="AN567">
        <v>28.59</v>
      </c>
      <c r="AO567">
        <v>14.7</v>
      </c>
      <c r="AP567">
        <v>16.8</v>
      </c>
      <c r="AQ567">
        <v>5</v>
      </c>
    </row>
    <row r="568" spans="1:43" x14ac:dyDescent="0.3">
      <c r="A568">
        <v>567</v>
      </c>
      <c r="B568" t="s">
        <v>1579</v>
      </c>
      <c r="C568">
        <v>2024</v>
      </c>
      <c r="D568" t="s">
        <v>1484</v>
      </c>
      <c r="E568">
        <v>1</v>
      </c>
      <c r="F568" t="s">
        <v>1139</v>
      </c>
      <c r="G568" t="s">
        <v>1580</v>
      </c>
      <c r="H568" t="s">
        <v>100</v>
      </c>
      <c r="I568" t="s">
        <v>1581</v>
      </c>
      <c r="J568" t="s">
        <v>50</v>
      </c>
      <c r="K568">
        <v>11.7</v>
      </c>
      <c r="L568">
        <v>14.8</v>
      </c>
      <c r="M568">
        <v>3.1</v>
      </c>
      <c r="N568">
        <v>4314</v>
      </c>
      <c r="O568">
        <v>8165</v>
      </c>
      <c r="P568">
        <v>3.1</v>
      </c>
      <c r="Q568">
        <v>83</v>
      </c>
      <c r="R568">
        <v>10.6</v>
      </c>
      <c r="S568">
        <v>1.82</v>
      </c>
      <c r="T568" t="s">
        <v>77</v>
      </c>
      <c r="U568">
        <v>34058</v>
      </c>
      <c r="V568">
        <v>0</v>
      </c>
      <c r="W568">
        <v>1</v>
      </c>
      <c r="X568">
        <v>837</v>
      </c>
      <c r="Y568">
        <v>32</v>
      </c>
      <c r="Z568" t="s">
        <v>202</v>
      </c>
      <c r="AA568">
        <v>61</v>
      </c>
      <c r="AB568">
        <v>39</v>
      </c>
      <c r="AC568" t="s">
        <v>53</v>
      </c>
      <c r="AD568">
        <v>28354</v>
      </c>
      <c r="AE568">
        <v>7505</v>
      </c>
      <c r="AF568">
        <v>1682.83</v>
      </c>
      <c r="AG568">
        <v>1</v>
      </c>
      <c r="AH568">
        <v>1012</v>
      </c>
      <c r="AI568">
        <v>32.322499999999998</v>
      </c>
      <c r="AJ568">
        <v>12.05</v>
      </c>
      <c r="AK568">
        <v>10.93</v>
      </c>
      <c r="AL568">
        <v>0.67</v>
      </c>
      <c r="AM568">
        <v>1001</v>
      </c>
      <c r="AN568">
        <v>28.59</v>
      </c>
      <c r="AO568">
        <v>6.1</v>
      </c>
      <c r="AP568">
        <v>32</v>
      </c>
      <c r="AQ568">
        <v>0</v>
      </c>
    </row>
    <row r="569" spans="1:43" x14ac:dyDescent="0.3">
      <c r="A569">
        <v>568</v>
      </c>
      <c r="B569" t="s">
        <v>1582</v>
      </c>
      <c r="C569">
        <v>2024</v>
      </c>
      <c r="D569" t="s">
        <v>1484</v>
      </c>
      <c r="E569">
        <v>113</v>
      </c>
      <c r="F569" t="s">
        <v>1139</v>
      </c>
      <c r="G569" t="s">
        <v>47</v>
      </c>
      <c r="H569" t="s">
        <v>48</v>
      </c>
      <c r="I569" t="s">
        <v>1583</v>
      </c>
      <c r="J569" t="s">
        <v>50</v>
      </c>
      <c r="K569">
        <v>4.8</v>
      </c>
      <c r="L569">
        <v>3.2</v>
      </c>
      <c r="M569">
        <v>4.7</v>
      </c>
      <c r="N569">
        <v>3847</v>
      </c>
      <c r="O569">
        <v>12007</v>
      </c>
      <c r="P569">
        <v>4.7</v>
      </c>
      <c r="Q569">
        <v>115</v>
      </c>
      <c r="R569">
        <v>8.1999999999999993</v>
      </c>
      <c r="S569">
        <v>3.5</v>
      </c>
      <c r="T569" t="s">
        <v>58</v>
      </c>
      <c r="U569">
        <v>16170</v>
      </c>
      <c r="V569">
        <v>18</v>
      </c>
      <c r="W569">
        <v>26</v>
      </c>
      <c r="X569">
        <v>1065</v>
      </c>
      <c r="Y569">
        <v>15.8</v>
      </c>
      <c r="Z569" t="s">
        <v>202</v>
      </c>
      <c r="AA569">
        <v>61</v>
      </c>
      <c r="AB569">
        <v>39</v>
      </c>
      <c r="AC569" t="s">
        <v>53</v>
      </c>
      <c r="AD569">
        <v>10795</v>
      </c>
      <c r="AE569">
        <v>5025</v>
      </c>
      <c r="AF569">
        <v>614.48</v>
      </c>
      <c r="AG569">
        <v>69</v>
      </c>
      <c r="AH569">
        <v>1</v>
      </c>
      <c r="AI569">
        <v>50.817340579710141</v>
      </c>
      <c r="AJ569">
        <v>35.82</v>
      </c>
      <c r="AK569">
        <v>38.92</v>
      </c>
      <c r="AL569">
        <v>35.29</v>
      </c>
      <c r="AM569">
        <v>1001</v>
      </c>
      <c r="AN569">
        <v>28.59</v>
      </c>
      <c r="AO569">
        <v>6.1</v>
      </c>
      <c r="AP569">
        <v>15.8</v>
      </c>
      <c r="AQ569">
        <v>18</v>
      </c>
    </row>
    <row r="570" spans="1:43" x14ac:dyDescent="0.3">
      <c r="A570">
        <v>569</v>
      </c>
      <c r="B570" t="s">
        <v>1584</v>
      </c>
      <c r="C570">
        <v>2024</v>
      </c>
      <c r="D570" t="s">
        <v>1484</v>
      </c>
      <c r="E570">
        <v>55</v>
      </c>
      <c r="F570" t="s">
        <v>1139</v>
      </c>
      <c r="G570" t="s">
        <v>481</v>
      </c>
      <c r="H570" t="s">
        <v>48</v>
      </c>
      <c r="I570" t="s">
        <v>481</v>
      </c>
      <c r="J570" t="s">
        <v>50</v>
      </c>
      <c r="K570">
        <v>5.8</v>
      </c>
      <c r="L570">
        <v>20.9</v>
      </c>
      <c r="M570">
        <v>6.8</v>
      </c>
      <c r="N570">
        <v>261</v>
      </c>
      <c r="O570">
        <v>4914</v>
      </c>
      <c r="P570">
        <v>6.8</v>
      </c>
      <c r="Q570">
        <v>67</v>
      </c>
      <c r="R570">
        <v>11.6</v>
      </c>
      <c r="S570">
        <v>0.46</v>
      </c>
      <c r="T570" t="s">
        <v>77</v>
      </c>
      <c r="U570">
        <v>9570</v>
      </c>
      <c r="V570">
        <v>6</v>
      </c>
      <c r="W570">
        <v>11</v>
      </c>
      <c r="X570">
        <v>568</v>
      </c>
      <c r="Y570">
        <v>18.8</v>
      </c>
      <c r="Z570" t="s">
        <v>457</v>
      </c>
      <c r="AA570">
        <v>56</v>
      </c>
      <c r="AB570">
        <v>44</v>
      </c>
      <c r="AC570" t="s">
        <v>53</v>
      </c>
      <c r="AD570">
        <v>6509</v>
      </c>
      <c r="AE570">
        <v>3629</v>
      </c>
      <c r="AF570">
        <v>906.25</v>
      </c>
      <c r="AG570">
        <v>9</v>
      </c>
      <c r="AH570">
        <v>313</v>
      </c>
      <c r="AI570">
        <v>39.444055555555551</v>
      </c>
      <c r="AJ570">
        <v>32.270000000000003</v>
      </c>
      <c r="AK570">
        <v>29.18</v>
      </c>
      <c r="AL570">
        <v>17.100000000000001</v>
      </c>
      <c r="AM570">
        <v>1001</v>
      </c>
      <c r="AN570">
        <v>28.59</v>
      </c>
      <c r="AO570">
        <v>8.7200000000000006</v>
      </c>
      <c r="AP570">
        <v>18.8</v>
      </c>
      <c r="AQ570">
        <v>6</v>
      </c>
    </row>
    <row r="571" spans="1:43" x14ac:dyDescent="0.3">
      <c r="A571">
        <v>570</v>
      </c>
      <c r="B571" t="s">
        <v>1585</v>
      </c>
      <c r="C571">
        <v>2024</v>
      </c>
      <c r="D571" t="s">
        <v>1484</v>
      </c>
      <c r="E571">
        <v>34</v>
      </c>
      <c r="F571" t="s">
        <v>1139</v>
      </c>
      <c r="G571" t="s">
        <v>775</v>
      </c>
      <c r="H571" t="s">
        <v>100</v>
      </c>
      <c r="I571" t="s">
        <v>1586</v>
      </c>
      <c r="J571" t="s">
        <v>50</v>
      </c>
      <c r="K571">
        <v>10.4</v>
      </c>
      <c r="L571">
        <v>15.3</v>
      </c>
      <c r="M571">
        <v>4.5999999999999996</v>
      </c>
      <c r="N571">
        <v>11251</v>
      </c>
      <c r="O571">
        <v>38632</v>
      </c>
      <c r="P571">
        <v>4.5999999999999996</v>
      </c>
      <c r="Q571">
        <v>160</v>
      </c>
      <c r="R571">
        <v>12.4</v>
      </c>
      <c r="S571">
        <v>2.56</v>
      </c>
      <c r="T571" t="s">
        <v>77</v>
      </c>
      <c r="U571">
        <v>47337</v>
      </c>
      <c r="V571">
        <v>0</v>
      </c>
      <c r="W571">
        <v>0</v>
      </c>
      <c r="X571">
        <v>1063</v>
      </c>
      <c r="Y571">
        <v>39.299999999999997</v>
      </c>
      <c r="Z571" t="s">
        <v>202</v>
      </c>
      <c r="AA571">
        <v>62</v>
      </c>
      <c r="AB571">
        <v>38</v>
      </c>
      <c r="AC571" t="s">
        <v>53</v>
      </c>
      <c r="AD571">
        <v>36493</v>
      </c>
      <c r="AE571">
        <v>11447</v>
      </c>
      <c r="AF571">
        <v>1036.01</v>
      </c>
      <c r="AG571">
        <v>6</v>
      </c>
      <c r="AH571">
        <v>486</v>
      </c>
      <c r="AI571">
        <v>33.59258333333333</v>
      </c>
      <c r="AJ571">
        <v>26.97</v>
      </c>
      <c r="AK571">
        <v>32.47</v>
      </c>
      <c r="AL571">
        <v>4.6900000000000004</v>
      </c>
      <c r="AM571">
        <v>1001</v>
      </c>
      <c r="AN571">
        <v>28.59</v>
      </c>
      <c r="AO571">
        <v>7.72</v>
      </c>
      <c r="AP571">
        <v>39.299999999999997</v>
      </c>
      <c r="AQ571">
        <v>0</v>
      </c>
    </row>
    <row r="572" spans="1:43" x14ac:dyDescent="0.3">
      <c r="A572">
        <v>571</v>
      </c>
      <c r="B572" t="s">
        <v>1587</v>
      </c>
      <c r="C572">
        <v>2024</v>
      </c>
      <c r="D572" t="s">
        <v>1484</v>
      </c>
      <c r="E572">
        <v>1</v>
      </c>
      <c r="F572" t="s">
        <v>1139</v>
      </c>
      <c r="G572" t="s">
        <v>1588</v>
      </c>
      <c r="H572" t="s">
        <v>493</v>
      </c>
      <c r="I572" t="s">
        <v>1589</v>
      </c>
      <c r="J572" t="s">
        <v>50</v>
      </c>
      <c r="K572">
        <v>9.6</v>
      </c>
      <c r="L572">
        <v>14.6</v>
      </c>
      <c r="M572">
        <v>1.7</v>
      </c>
      <c r="N572">
        <v>16229</v>
      </c>
      <c r="O572">
        <v>9052</v>
      </c>
      <c r="P572">
        <v>1.7</v>
      </c>
      <c r="Q572">
        <v>94</v>
      </c>
      <c r="R572">
        <v>7.7</v>
      </c>
      <c r="S572">
        <v>3.41</v>
      </c>
      <c r="T572" t="s">
        <v>71</v>
      </c>
      <c r="U572">
        <v>52678</v>
      </c>
      <c r="V572">
        <v>2</v>
      </c>
      <c r="W572">
        <v>2</v>
      </c>
      <c r="X572">
        <v>2492</v>
      </c>
      <c r="Y572">
        <v>34.5</v>
      </c>
      <c r="Z572" t="s">
        <v>1016</v>
      </c>
      <c r="AA572">
        <v>45</v>
      </c>
      <c r="AB572">
        <v>55</v>
      </c>
      <c r="AC572" t="s">
        <v>53</v>
      </c>
      <c r="AD572">
        <v>33715</v>
      </c>
      <c r="AE572">
        <v>18501</v>
      </c>
      <c r="AF572">
        <v>1454.75</v>
      </c>
      <c r="AG572">
        <v>1</v>
      </c>
      <c r="AH572">
        <v>1393</v>
      </c>
      <c r="AI572">
        <v>24.870999999999999</v>
      </c>
      <c r="AJ572">
        <v>16.97</v>
      </c>
      <c r="AK572">
        <v>13.61</v>
      </c>
      <c r="AL572">
        <v>3.5</v>
      </c>
      <c r="AM572">
        <v>1001</v>
      </c>
      <c r="AN572">
        <v>28.59</v>
      </c>
      <c r="AO572">
        <v>4.0999999999999996</v>
      </c>
      <c r="AP572">
        <v>34.5</v>
      </c>
      <c r="AQ572">
        <v>2</v>
      </c>
    </row>
    <row r="573" spans="1:43" x14ac:dyDescent="0.3">
      <c r="A573">
        <v>572</v>
      </c>
      <c r="B573" t="s">
        <v>1590</v>
      </c>
      <c r="C573">
        <v>2024</v>
      </c>
      <c r="D573" t="s">
        <v>1484</v>
      </c>
      <c r="E573">
        <v>185</v>
      </c>
      <c r="F573" t="s">
        <v>1139</v>
      </c>
      <c r="G573" t="s">
        <v>63</v>
      </c>
      <c r="H573" t="s">
        <v>64</v>
      </c>
      <c r="I573" t="s">
        <v>1591</v>
      </c>
      <c r="J573" t="s">
        <v>50</v>
      </c>
      <c r="K573">
        <v>5.7</v>
      </c>
      <c r="L573">
        <v>4.5</v>
      </c>
      <c r="M573">
        <v>14.1</v>
      </c>
      <c r="N573">
        <v>5888</v>
      </c>
      <c r="O573">
        <v>541</v>
      </c>
      <c r="P573">
        <v>14.1</v>
      </c>
      <c r="Q573">
        <v>178</v>
      </c>
      <c r="R573">
        <v>855</v>
      </c>
      <c r="S573">
        <v>0.41519570222563318</v>
      </c>
      <c r="T573" t="s">
        <v>51</v>
      </c>
      <c r="U573">
        <v>26819</v>
      </c>
      <c r="V573">
        <v>6</v>
      </c>
      <c r="W573">
        <v>8</v>
      </c>
      <c r="X573">
        <v>1303</v>
      </c>
      <c r="Y573">
        <v>20.6</v>
      </c>
      <c r="Z573" t="s">
        <v>59</v>
      </c>
      <c r="AA573">
        <v>50</v>
      </c>
      <c r="AB573">
        <v>50</v>
      </c>
      <c r="AC573" t="s">
        <v>53</v>
      </c>
      <c r="AD573">
        <v>15512</v>
      </c>
      <c r="AE573">
        <v>11492</v>
      </c>
      <c r="AF573">
        <v>647.61</v>
      </c>
      <c r="AG573">
        <v>98</v>
      </c>
      <c r="AH573">
        <v>2</v>
      </c>
      <c r="AI573">
        <v>56.843244897959181</v>
      </c>
      <c r="AJ573">
        <v>29.74</v>
      </c>
      <c r="AK573">
        <v>38.11</v>
      </c>
      <c r="AL573">
        <v>19.260000000000002</v>
      </c>
      <c r="AM573">
        <v>1001</v>
      </c>
      <c r="AN573">
        <v>28.59</v>
      </c>
      <c r="AO573">
        <v>350.46</v>
      </c>
      <c r="AP573">
        <v>20.6</v>
      </c>
      <c r="AQ573">
        <v>6</v>
      </c>
    </row>
    <row r="574" spans="1:43" x14ac:dyDescent="0.3">
      <c r="A574">
        <v>573</v>
      </c>
      <c r="B574" t="s">
        <v>1592</v>
      </c>
      <c r="C574">
        <v>2024</v>
      </c>
      <c r="D574" t="s">
        <v>1484</v>
      </c>
      <c r="E574">
        <v>2</v>
      </c>
      <c r="F574" t="s">
        <v>1139</v>
      </c>
      <c r="G574" t="s">
        <v>1264</v>
      </c>
      <c r="H574" t="s">
        <v>48</v>
      </c>
      <c r="I574" t="s">
        <v>1593</v>
      </c>
      <c r="J574" t="s">
        <v>50</v>
      </c>
      <c r="K574">
        <v>8.8000000000000007</v>
      </c>
      <c r="L574">
        <v>3.6</v>
      </c>
      <c r="M574">
        <v>3.4</v>
      </c>
      <c r="N574">
        <v>6878</v>
      </c>
      <c r="O574">
        <v>18954</v>
      </c>
      <c r="P574">
        <v>3.4</v>
      </c>
      <c r="Q574">
        <v>163</v>
      </c>
      <c r="R574">
        <v>9.6999999999999993</v>
      </c>
      <c r="S574">
        <v>2.4</v>
      </c>
      <c r="T574" t="s">
        <v>51</v>
      </c>
      <c r="U574">
        <v>47978</v>
      </c>
      <c r="V574">
        <v>1</v>
      </c>
      <c r="W574">
        <v>7</v>
      </c>
      <c r="X574">
        <v>2743</v>
      </c>
      <c r="Y574">
        <v>15.1</v>
      </c>
      <c r="Z574" t="s">
        <v>457</v>
      </c>
      <c r="AA574">
        <v>58</v>
      </c>
      <c r="AB574">
        <v>42</v>
      </c>
      <c r="AC574" t="s">
        <v>53</v>
      </c>
      <c r="AD574">
        <v>33523</v>
      </c>
      <c r="AE574">
        <v>15773</v>
      </c>
      <c r="AF574">
        <v>1033</v>
      </c>
      <c r="AG574">
        <v>3</v>
      </c>
      <c r="AH574">
        <v>964</v>
      </c>
      <c r="AI574">
        <v>28.842333333333329</v>
      </c>
      <c r="AJ574">
        <v>18.05</v>
      </c>
      <c r="AK574">
        <v>8.5</v>
      </c>
      <c r="AL574">
        <v>6</v>
      </c>
      <c r="AM574">
        <v>1001</v>
      </c>
      <c r="AN574">
        <v>28.59</v>
      </c>
      <c r="AO574">
        <v>5.92</v>
      </c>
      <c r="AP574">
        <v>15.1</v>
      </c>
      <c r="AQ574">
        <v>1</v>
      </c>
    </row>
    <row r="575" spans="1:43" x14ac:dyDescent="0.3">
      <c r="A575">
        <v>574</v>
      </c>
      <c r="B575" t="s">
        <v>1594</v>
      </c>
      <c r="C575">
        <v>2024</v>
      </c>
      <c r="D575" t="s">
        <v>1484</v>
      </c>
      <c r="E575">
        <v>18</v>
      </c>
      <c r="F575" t="s">
        <v>1139</v>
      </c>
      <c r="G575" t="s">
        <v>642</v>
      </c>
      <c r="H575" t="s">
        <v>48</v>
      </c>
      <c r="I575" t="s">
        <v>1595</v>
      </c>
      <c r="J575" t="s">
        <v>50</v>
      </c>
      <c r="K575">
        <v>4.8</v>
      </c>
      <c r="L575">
        <v>2.6</v>
      </c>
      <c r="M575">
        <v>3.3</v>
      </c>
      <c r="N575">
        <v>1877</v>
      </c>
      <c r="O575">
        <v>1321</v>
      </c>
      <c r="P575">
        <v>3.3</v>
      </c>
      <c r="Q575">
        <v>35</v>
      </c>
      <c r="R575">
        <v>5.5</v>
      </c>
      <c r="S575">
        <v>2.61</v>
      </c>
      <c r="T575" t="s">
        <v>71</v>
      </c>
      <c r="U575">
        <v>7375</v>
      </c>
      <c r="V575">
        <v>10</v>
      </c>
      <c r="W575">
        <v>9</v>
      </c>
      <c r="X575">
        <v>443</v>
      </c>
      <c r="Y575">
        <v>13.5</v>
      </c>
      <c r="Z575" t="s">
        <v>116</v>
      </c>
      <c r="AA575">
        <v>55</v>
      </c>
      <c r="AB575">
        <v>45</v>
      </c>
      <c r="AC575" t="s">
        <v>53</v>
      </c>
      <c r="AD575">
        <v>4981</v>
      </c>
      <c r="AE575">
        <v>2358</v>
      </c>
      <c r="AF575">
        <v>1055.02</v>
      </c>
      <c r="AG575">
        <v>11</v>
      </c>
      <c r="AH575">
        <v>459</v>
      </c>
      <c r="AI575">
        <v>29.911909090909091</v>
      </c>
      <c r="AJ575">
        <v>21.19</v>
      </c>
      <c r="AK575">
        <v>18.600000000000001</v>
      </c>
      <c r="AL575">
        <v>18.350000000000001</v>
      </c>
      <c r="AM575">
        <v>1001</v>
      </c>
      <c r="AN575">
        <v>28.59</v>
      </c>
      <c r="AO575">
        <v>4.18</v>
      </c>
      <c r="AP575">
        <v>13.5</v>
      </c>
      <c r="AQ575">
        <v>10</v>
      </c>
    </row>
    <row r="576" spans="1:43" x14ac:dyDescent="0.3">
      <c r="A576">
        <v>575</v>
      </c>
      <c r="B576" t="s">
        <v>1596</v>
      </c>
      <c r="C576">
        <v>2024</v>
      </c>
      <c r="D576" t="s">
        <v>1484</v>
      </c>
      <c r="E576">
        <v>4</v>
      </c>
      <c r="F576" t="s">
        <v>1139</v>
      </c>
      <c r="G576" t="s">
        <v>1161</v>
      </c>
      <c r="H576" t="s">
        <v>48</v>
      </c>
      <c r="I576" t="s">
        <v>1597</v>
      </c>
      <c r="J576" t="s">
        <v>50</v>
      </c>
      <c r="K576">
        <v>3.1</v>
      </c>
      <c r="L576">
        <v>2.2999999999999998</v>
      </c>
      <c r="M576">
        <v>5.0999999999999996</v>
      </c>
      <c r="N576">
        <v>795</v>
      </c>
      <c r="O576">
        <v>1731</v>
      </c>
      <c r="P576">
        <v>5.0999999999999996</v>
      </c>
      <c r="Q576">
        <v>42</v>
      </c>
      <c r="R576">
        <v>6</v>
      </c>
      <c r="S576">
        <v>2.17</v>
      </c>
      <c r="T576" t="s">
        <v>77</v>
      </c>
      <c r="U576">
        <v>5805</v>
      </c>
      <c r="V576">
        <v>18</v>
      </c>
      <c r="W576">
        <v>23</v>
      </c>
      <c r="X576">
        <v>367</v>
      </c>
      <c r="Y576">
        <v>15.3</v>
      </c>
      <c r="Z576" t="s">
        <v>490</v>
      </c>
      <c r="AA576">
        <v>76</v>
      </c>
      <c r="AB576">
        <v>24</v>
      </c>
      <c r="AC576" t="s">
        <v>53</v>
      </c>
      <c r="AD576">
        <v>3766</v>
      </c>
      <c r="AE576">
        <v>1978</v>
      </c>
      <c r="AF576">
        <v>920.75</v>
      </c>
      <c r="AG576">
        <v>3</v>
      </c>
      <c r="AH576">
        <v>884</v>
      </c>
      <c r="AI576">
        <v>28.492166666666659</v>
      </c>
      <c r="AJ576">
        <v>20.04</v>
      </c>
      <c r="AK576">
        <v>16.91</v>
      </c>
      <c r="AL576">
        <v>26.75</v>
      </c>
      <c r="AM576">
        <v>1001</v>
      </c>
      <c r="AN576">
        <v>28.59</v>
      </c>
      <c r="AO576">
        <v>5.46</v>
      </c>
      <c r="AP576">
        <v>15.3</v>
      </c>
      <c r="AQ576">
        <v>18</v>
      </c>
    </row>
    <row r="577" spans="1:43" x14ac:dyDescent="0.3">
      <c r="A577">
        <v>576</v>
      </c>
      <c r="B577" t="s">
        <v>1598</v>
      </c>
      <c r="C577">
        <v>2024</v>
      </c>
      <c r="D577" t="s">
        <v>1484</v>
      </c>
      <c r="E577">
        <v>26</v>
      </c>
      <c r="F577" t="s">
        <v>1139</v>
      </c>
      <c r="G577" t="s">
        <v>114</v>
      </c>
      <c r="H577" t="s">
        <v>1316</v>
      </c>
      <c r="I577" t="s">
        <v>114</v>
      </c>
      <c r="J577" t="s">
        <v>50</v>
      </c>
      <c r="K577">
        <v>3.5</v>
      </c>
      <c r="L577">
        <v>2.9</v>
      </c>
      <c r="M577">
        <v>21.2</v>
      </c>
      <c r="N577">
        <v>1451</v>
      </c>
      <c r="O577">
        <v>405</v>
      </c>
      <c r="P577">
        <v>21.2</v>
      </c>
      <c r="Q577">
        <v>141</v>
      </c>
      <c r="R577">
        <v>1001</v>
      </c>
      <c r="S577">
        <v>1.63</v>
      </c>
      <c r="T577" t="s">
        <v>77</v>
      </c>
      <c r="U577">
        <v>14167</v>
      </c>
      <c r="V577">
        <v>26</v>
      </c>
      <c r="W577">
        <v>34</v>
      </c>
      <c r="X577">
        <v>888</v>
      </c>
      <c r="Y577">
        <v>24.6</v>
      </c>
      <c r="Z577" t="s">
        <v>59</v>
      </c>
      <c r="AA577">
        <v>60</v>
      </c>
      <c r="AB577">
        <v>40</v>
      </c>
      <c r="AC577" t="s">
        <v>53</v>
      </c>
      <c r="AD577">
        <v>9870</v>
      </c>
      <c r="AE577">
        <v>4461</v>
      </c>
      <c r="AF577">
        <v>559.59</v>
      </c>
      <c r="AG577">
        <v>23</v>
      </c>
      <c r="AH577">
        <v>21</v>
      </c>
      <c r="AI577">
        <v>55.883456521739127</v>
      </c>
      <c r="AJ577">
        <v>36.42</v>
      </c>
      <c r="AK577">
        <v>48.16</v>
      </c>
      <c r="AL577">
        <v>22.85</v>
      </c>
      <c r="AM577">
        <v>1001</v>
      </c>
      <c r="AN577">
        <v>28.59</v>
      </c>
      <c r="AO577">
        <v>413.12</v>
      </c>
      <c r="AP577">
        <v>24.6</v>
      </c>
      <c r="AQ577">
        <v>26</v>
      </c>
    </row>
    <row r="578" spans="1:43" x14ac:dyDescent="0.3">
      <c r="A578">
        <v>577</v>
      </c>
      <c r="B578" t="s">
        <v>1599</v>
      </c>
      <c r="C578">
        <v>2024</v>
      </c>
      <c r="D578" t="s">
        <v>1484</v>
      </c>
      <c r="E578">
        <v>12</v>
      </c>
      <c r="F578" t="s">
        <v>1139</v>
      </c>
      <c r="G578" t="s">
        <v>492</v>
      </c>
      <c r="H578" t="s">
        <v>493</v>
      </c>
      <c r="I578" t="s">
        <v>1600</v>
      </c>
      <c r="J578" t="s">
        <v>50</v>
      </c>
      <c r="K578">
        <v>5.6</v>
      </c>
      <c r="L578">
        <v>6.6</v>
      </c>
      <c r="M578">
        <v>7.9</v>
      </c>
      <c r="N578">
        <v>6128</v>
      </c>
      <c r="O578">
        <v>29158</v>
      </c>
      <c r="P578">
        <v>7.9</v>
      </c>
      <c r="Q578">
        <v>193</v>
      </c>
      <c r="R578">
        <v>10.5</v>
      </c>
      <c r="S578">
        <v>2.2400000000000002</v>
      </c>
      <c r="T578" t="s">
        <v>58</v>
      </c>
      <c r="U578">
        <v>33247</v>
      </c>
      <c r="V578">
        <v>2</v>
      </c>
      <c r="W578">
        <v>2</v>
      </c>
      <c r="X578">
        <v>2739</v>
      </c>
      <c r="Y578">
        <v>35.6</v>
      </c>
      <c r="Z578" t="s">
        <v>521</v>
      </c>
      <c r="AA578">
        <v>64</v>
      </c>
      <c r="AB578">
        <v>36</v>
      </c>
      <c r="AC578" t="s">
        <v>53</v>
      </c>
      <c r="AD578">
        <v>20319</v>
      </c>
      <c r="AE578">
        <v>11280</v>
      </c>
      <c r="AF578">
        <v>773.03</v>
      </c>
      <c r="AG578">
        <v>8</v>
      </c>
      <c r="AH578">
        <v>167</v>
      </c>
      <c r="AI578">
        <v>43.070812500000002</v>
      </c>
      <c r="AJ578">
        <v>26.92</v>
      </c>
      <c r="AK578">
        <v>35.4</v>
      </c>
      <c r="AL578">
        <v>8.7799999999999994</v>
      </c>
      <c r="AM578">
        <v>1001</v>
      </c>
      <c r="AN578">
        <v>28.59</v>
      </c>
      <c r="AO578">
        <v>8.94</v>
      </c>
      <c r="AP578">
        <v>35.6</v>
      </c>
      <c r="AQ578">
        <v>2</v>
      </c>
    </row>
    <row r="579" spans="1:43" x14ac:dyDescent="0.3">
      <c r="A579">
        <v>578</v>
      </c>
      <c r="B579" t="s">
        <v>1601</v>
      </c>
      <c r="C579">
        <v>2024</v>
      </c>
      <c r="D579" t="s">
        <v>1484</v>
      </c>
      <c r="E579">
        <v>183</v>
      </c>
      <c r="F579" t="s">
        <v>1139</v>
      </c>
      <c r="G579" t="s">
        <v>63</v>
      </c>
      <c r="H579" t="s">
        <v>1316</v>
      </c>
      <c r="I579" t="s">
        <v>1317</v>
      </c>
      <c r="J579" t="s">
        <v>50</v>
      </c>
      <c r="K579">
        <v>3.8</v>
      </c>
      <c r="L579">
        <v>4.4000000000000004</v>
      </c>
      <c r="M579">
        <v>21.4</v>
      </c>
      <c r="N579">
        <v>6793</v>
      </c>
      <c r="O579">
        <v>898</v>
      </c>
      <c r="P579">
        <v>21.4</v>
      </c>
      <c r="Q579">
        <v>229</v>
      </c>
      <c r="R579">
        <v>791</v>
      </c>
      <c r="S579">
        <v>4.5999999999999996</v>
      </c>
      <c r="T579" t="s">
        <v>96</v>
      </c>
      <c r="U579">
        <v>16199</v>
      </c>
      <c r="V579">
        <v>9</v>
      </c>
      <c r="W579">
        <v>10</v>
      </c>
      <c r="X579">
        <v>1477</v>
      </c>
      <c r="Y579">
        <v>17</v>
      </c>
      <c r="Z579" t="s">
        <v>337</v>
      </c>
      <c r="AA579">
        <v>54</v>
      </c>
      <c r="AB579">
        <v>46</v>
      </c>
      <c r="AC579" t="s">
        <v>53</v>
      </c>
      <c r="AD579">
        <v>9241</v>
      </c>
      <c r="AE579">
        <v>4420</v>
      </c>
      <c r="AF579">
        <v>647.61</v>
      </c>
      <c r="AG579">
        <v>98</v>
      </c>
      <c r="AH579">
        <v>2</v>
      </c>
      <c r="AI579">
        <v>56.843244897959181</v>
      </c>
      <c r="AJ579">
        <v>29.74</v>
      </c>
      <c r="AK579">
        <v>38.11</v>
      </c>
      <c r="AL579">
        <v>19.260000000000002</v>
      </c>
      <c r="AM579">
        <v>1001</v>
      </c>
      <c r="AN579">
        <v>28.59</v>
      </c>
      <c r="AO579">
        <v>329.24</v>
      </c>
      <c r="AP579">
        <v>17</v>
      </c>
      <c r="AQ579">
        <v>9</v>
      </c>
    </row>
    <row r="580" spans="1:43" x14ac:dyDescent="0.3">
      <c r="A580">
        <v>579</v>
      </c>
      <c r="B580" t="s">
        <v>1602</v>
      </c>
      <c r="C580">
        <v>2024</v>
      </c>
      <c r="D580" t="s">
        <v>1484</v>
      </c>
      <c r="E580">
        <v>101</v>
      </c>
      <c r="F580" t="s">
        <v>1139</v>
      </c>
      <c r="G580" t="s">
        <v>47</v>
      </c>
      <c r="H580" t="s">
        <v>48</v>
      </c>
      <c r="I580" t="s">
        <v>1603</v>
      </c>
      <c r="J580" t="s">
        <v>50</v>
      </c>
      <c r="K580">
        <v>3.4</v>
      </c>
      <c r="L580">
        <v>3.2</v>
      </c>
      <c r="M580">
        <v>9.4</v>
      </c>
      <c r="N580">
        <v>2369</v>
      </c>
      <c r="O580">
        <v>6102</v>
      </c>
      <c r="P580">
        <v>9.4</v>
      </c>
      <c r="Q580">
        <v>81</v>
      </c>
      <c r="R580">
        <v>9</v>
      </c>
      <c r="S580">
        <v>3.63</v>
      </c>
      <c r="T580" t="s">
        <v>58</v>
      </c>
      <c r="U580">
        <v>15115</v>
      </c>
      <c r="V580">
        <v>28</v>
      </c>
      <c r="W580">
        <v>28</v>
      </c>
      <c r="X580">
        <v>877</v>
      </c>
      <c r="Y580">
        <v>16.7</v>
      </c>
      <c r="Z580" t="s">
        <v>326</v>
      </c>
      <c r="AA580">
        <v>64</v>
      </c>
      <c r="AB580">
        <v>36</v>
      </c>
      <c r="AC580" t="s">
        <v>53</v>
      </c>
      <c r="AD580">
        <v>11115</v>
      </c>
      <c r="AE580">
        <v>2720</v>
      </c>
      <c r="AF580">
        <v>614.48</v>
      </c>
      <c r="AG580">
        <v>69</v>
      </c>
      <c r="AH580">
        <v>1</v>
      </c>
      <c r="AI580">
        <v>50.817340579710141</v>
      </c>
      <c r="AJ580">
        <v>35.82</v>
      </c>
      <c r="AK580">
        <v>38.92</v>
      </c>
      <c r="AL580">
        <v>35.29</v>
      </c>
      <c r="AM580">
        <v>1001</v>
      </c>
      <c r="AN580">
        <v>28.59</v>
      </c>
      <c r="AO580">
        <v>9.24</v>
      </c>
      <c r="AP580">
        <v>16.7</v>
      </c>
      <c r="AQ580">
        <v>28</v>
      </c>
    </row>
    <row r="581" spans="1:43" x14ac:dyDescent="0.3">
      <c r="A581">
        <v>580</v>
      </c>
      <c r="B581" t="s">
        <v>1604</v>
      </c>
      <c r="C581">
        <v>2024</v>
      </c>
      <c r="D581" t="s">
        <v>1484</v>
      </c>
      <c r="E581">
        <v>138</v>
      </c>
      <c r="F581" t="s">
        <v>1139</v>
      </c>
      <c r="G581" t="s">
        <v>63</v>
      </c>
      <c r="H581" t="s">
        <v>64</v>
      </c>
      <c r="I581" t="s">
        <v>1605</v>
      </c>
      <c r="J581" t="s">
        <v>50</v>
      </c>
      <c r="K581">
        <v>3</v>
      </c>
      <c r="L581">
        <v>1.4</v>
      </c>
      <c r="M581">
        <v>23.4</v>
      </c>
      <c r="N581">
        <v>2443</v>
      </c>
      <c r="O581">
        <v>363</v>
      </c>
      <c r="P581">
        <v>23.4</v>
      </c>
      <c r="Q581">
        <v>122</v>
      </c>
      <c r="R581">
        <v>715</v>
      </c>
      <c r="S581">
        <v>0.40154867256637161</v>
      </c>
      <c r="T581" t="s">
        <v>71</v>
      </c>
      <c r="U581">
        <v>10174</v>
      </c>
      <c r="V581">
        <v>4</v>
      </c>
      <c r="W581">
        <v>5</v>
      </c>
      <c r="X581">
        <v>904</v>
      </c>
      <c r="Y581">
        <v>14.1</v>
      </c>
      <c r="Z581" t="s">
        <v>185</v>
      </c>
      <c r="AA581">
        <v>53</v>
      </c>
      <c r="AB581">
        <v>47</v>
      </c>
      <c r="AC581" t="s">
        <v>53</v>
      </c>
      <c r="AD581">
        <v>6323</v>
      </c>
      <c r="AE581">
        <v>3139</v>
      </c>
      <c r="AF581">
        <v>647.61</v>
      </c>
      <c r="AG581">
        <v>98</v>
      </c>
      <c r="AH581">
        <v>2</v>
      </c>
      <c r="AI581">
        <v>56.843244897959181</v>
      </c>
      <c r="AJ581">
        <v>29.74</v>
      </c>
      <c r="AK581">
        <v>38.11</v>
      </c>
      <c r="AL581">
        <v>19.260000000000002</v>
      </c>
      <c r="AM581">
        <v>1001</v>
      </c>
      <c r="AN581">
        <v>28.59</v>
      </c>
      <c r="AO581">
        <v>300.04000000000002</v>
      </c>
      <c r="AP581">
        <v>14.1</v>
      </c>
      <c r="AQ581">
        <v>4</v>
      </c>
    </row>
    <row r="582" spans="1:43" x14ac:dyDescent="0.3">
      <c r="A582">
        <v>581</v>
      </c>
      <c r="B582" t="s">
        <v>1606</v>
      </c>
      <c r="C582">
        <v>2024</v>
      </c>
      <c r="D582" t="s">
        <v>1484</v>
      </c>
      <c r="E582">
        <v>7</v>
      </c>
      <c r="F582" t="s">
        <v>1139</v>
      </c>
      <c r="G582" t="s">
        <v>1397</v>
      </c>
      <c r="H582" t="s">
        <v>48</v>
      </c>
      <c r="I582" t="s">
        <v>1607</v>
      </c>
      <c r="J582" t="s">
        <v>50</v>
      </c>
      <c r="K582">
        <v>5.7</v>
      </c>
      <c r="L582">
        <v>1</v>
      </c>
      <c r="M582">
        <v>6.2</v>
      </c>
      <c r="N582">
        <v>1508</v>
      </c>
      <c r="O582">
        <v>10478</v>
      </c>
      <c r="P582">
        <v>6.2</v>
      </c>
      <c r="Q582">
        <v>99</v>
      </c>
      <c r="R582">
        <v>27</v>
      </c>
      <c r="S582">
        <v>2.95</v>
      </c>
      <c r="T582" t="s">
        <v>71</v>
      </c>
      <c r="U582">
        <v>7154</v>
      </c>
      <c r="V582">
        <v>3</v>
      </c>
      <c r="W582">
        <v>7</v>
      </c>
      <c r="X582">
        <v>750</v>
      </c>
      <c r="Y582">
        <v>14</v>
      </c>
      <c r="Z582" t="s">
        <v>272</v>
      </c>
      <c r="AA582">
        <v>33</v>
      </c>
      <c r="AB582">
        <v>67</v>
      </c>
      <c r="AC582" t="s">
        <v>53</v>
      </c>
      <c r="AD582">
        <v>4537</v>
      </c>
      <c r="AE582">
        <v>2881</v>
      </c>
      <c r="AF582">
        <v>1262.8499999999999</v>
      </c>
      <c r="AG582">
        <v>3</v>
      </c>
      <c r="AH582">
        <v>1054</v>
      </c>
      <c r="AI582">
        <v>26.376166666666659</v>
      </c>
      <c r="AJ582">
        <v>14.92</v>
      </c>
      <c r="AK582">
        <v>15.66</v>
      </c>
      <c r="AL582">
        <v>19.95</v>
      </c>
      <c r="AM582">
        <v>1001</v>
      </c>
      <c r="AN582">
        <v>28.59</v>
      </c>
      <c r="AO582">
        <v>14.52</v>
      </c>
      <c r="AP582">
        <v>14</v>
      </c>
      <c r="AQ582">
        <v>3</v>
      </c>
    </row>
    <row r="583" spans="1:43" x14ac:dyDescent="0.3">
      <c r="A583">
        <v>582</v>
      </c>
      <c r="B583" t="s">
        <v>1608</v>
      </c>
      <c r="C583">
        <v>2024</v>
      </c>
      <c r="D583" t="s">
        <v>1484</v>
      </c>
      <c r="E583">
        <v>16</v>
      </c>
      <c r="F583" t="s">
        <v>1139</v>
      </c>
      <c r="G583" t="s">
        <v>642</v>
      </c>
      <c r="H583" t="s">
        <v>48</v>
      </c>
      <c r="I583" t="s">
        <v>1609</v>
      </c>
      <c r="J583" t="s">
        <v>50</v>
      </c>
      <c r="K583">
        <v>5.4</v>
      </c>
      <c r="L583">
        <v>10.3</v>
      </c>
      <c r="M583">
        <v>4.3</v>
      </c>
      <c r="N583">
        <v>1596</v>
      </c>
      <c r="O583">
        <v>11383</v>
      </c>
      <c r="P583">
        <v>4.3</v>
      </c>
      <c r="Q583">
        <v>104</v>
      </c>
      <c r="R583">
        <v>33.9</v>
      </c>
      <c r="S583">
        <v>2</v>
      </c>
      <c r="T583" t="s">
        <v>96</v>
      </c>
      <c r="U583">
        <v>11390</v>
      </c>
      <c r="V583">
        <v>13</v>
      </c>
      <c r="W583">
        <v>15</v>
      </c>
      <c r="X583">
        <v>1123</v>
      </c>
      <c r="Y583">
        <v>14.7</v>
      </c>
      <c r="Z583" t="s">
        <v>639</v>
      </c>
      <c r="AA583">
        <v>33</v>
      </c>
      <c r="AB583">
        <v>67</v>
      </c>
      <c r="AC583" t="s">
        <v>53</v>
      </c>
      <c r="AD583">
        <v>7307</v>
      </c>
      <c r="AE583">
        <v>4814</v>
      </c>
      <c r="AF583">
        <v>1055.02</v>
      </c>
      <c r="AG583">
        <v>11</v>
      </c>
      <c r="AH583">
        <v>459</v>
      </c>
      <c r="AI583">
        <v>29.911909090909091</v>
      </c>
      <c r="AJ583">
        <v>21.19</v>
      </c>
      <c r="AK583">
        <v>18.600000000000001</v>
      </c>
      <c r="AL583">
        <v>18.350000000000001</v>
      </c>
      <c r="AM583">
        <v>1001</v>
      </c>
      <c r="AN583">
        <v>28.59</v>
      </c>
      <c r="AO583">
        <v>16.14</v>
      </c>
      <c r="AP583">
        <v>14.7</v>
      </c>
      <c r="AQ583">
        <v>13</v>
      </c>
    </row>
    <row r="584" spans="1:43" x14ac:dyDescent="0.3">
      <c r="A584">
        <v>583</v>
      </c>
      <c r="B584" t="s">
        <v>1610</v>
      </c>
      <c r="C584">
        <v>2024</v>
      </c>
      <c r="D584" t="s">
        <v>1484</v>
      </c>
      <c r="E584">
        <v>173</v>
      </c>
      <c r="F584" t="s">
        <v>1139</v>
      </c>
      <c r="G584" t="s">
        <v>63</v>
      </c>
      <c r="H584" t="s">
        <v>64</v>
      </c>
      <c r="I584" t="s">
        <v>1611</v>
      </c>
      <c r="J584" t="s">
        <v>50</v>
      </c>
      <c r="K584">
        <v>5.3</v>
      </c>
      <c r="L584">
        <v>3.6</v>
      </c>
      <c r="M584">
        <v>5.8</v>
      </c>
      <c r="N584">
        <v>4476</v>
      </c>
      <c r="O584">
        <v>19148</v>
      </c>
      <c r="P584">
        <v>5.8</v>
      </c>
      <c r="Q584">
        <v>117</v>
      </c>
      <c r="R584">
        <v>7.8</v>
      </c>
      <c r="S584">
        <v>1.92</v>
      </c>
      <c r="T584" t="s">
        <v>51</v>
      </c>
      <c r="U584">
        <v>16486</v>
      </c>
      <c r="V584">
        <v>8</v>
      </c>
      <c r="W584">
        <v>25.408048709999999</v>
      </c>
      <c r="X584">
        <v>1144</v>
      </c>
      <c r="Y584">
        <v>21.3</v>
      </c>
      <c r="Z584" t="s">
        <v>337</v>
      </c>
      <c r="AA584">
        <v>56.465675660000002</v>
      </c>
      <c r="AB584">
        <v>43.534324339999998</v>
      </c>
      <c r="AC584" t="s">
        <v>53</v>
      </c>
      <c r="AD584">
        <v>16985</v>
      </c>
      <c r="AE584">
        <v>3901</v>
      </c>
      <c r="AF584">
        <v>647.61</v>
      </c>
      <c r="AG584">
        <v>98</v>
      </c>
      <c r="AH584">
        <v>2</v>
      </c>
      <c r="AI584">
        <v>56.843244897959181</v>
      </c>
      <c r="AJ584">
        <v>29.74</v>
      </c>
      <c r="AK584">
        <v>38.11</v>
      </c>
      <c r="AL584">
        <v>19.260000000000002</v>
      </c>
      <c r="AM584">
        <v>1001</v>
      </c>
      <c r="AN584">
        <v>28.59</v>
      </c>
      <c r="AO584">
        <v>6.6</v>
      </c>
      <c r="AP584">
        <v>21.3</v>
      </c>
      <c r="AQ584">
        <v>8</v>
      </c>
    </row>
    <row r="585" spans="1:43" x14ac:dyDescent="0.3">
      <c r="A585">
        <v>584</v>
      </c>
      <c r="B585" t="s">
        <v>1612</v>
      </c>
      <c r="C585">
        <v>2024</v>
      </c>
      <c r="D585" t="s">
        <v>1484</v>
      </c>
      <c r="E585">
        <v>10</v>
      </c>
      <c r="F585" t="s">
        <v>1139</v>
      </c>
      <c r="G585" t="s">
        <v>1515</v>
      </c>
      <c r="H585" t="s">
        <v>100</v>
      </c>
      <c r="I585" t="s">
        <v>1613</v>
      </c>
      <c r="J585" t="s">
        <v>50</v>
      </c>
      <c r="K585">
        <v>11.9</v>
      </c>
      <c r="L585">
        <v>14.5</v>
      </c>
      <c r="M585">
        <v>2.5</v>
      </c>
      <c r="N585">
        <v>15132</v>
      </c>
      <c r="O585">
        <v>11358</v>
      </c>
      <c r="P585">
        <v>2.5</v>
      </c>
      <c r="Q585">
        <v>113</v>
      </c>
      <c r="R585">
        <v>14.3</v>
      </c>
      <c r="S585">
        <v>5.8</v>
      </c>
      <c r="T585" t="s">
        <v>96</v>
      </c>
      <c r="U585">
        <v>31177</v>
      </c>
      <c r="V585">
        <v>11</v>
      </c>
      <c r="W585">
        <v>15</v>
      </c>
      <c r="X585">
        <v>1113</v>
      </c>
      <c r="Y585">
        <v>28.3</v>
      </c>
      <c r="Z585" t="s">
        <v>457</v>
      </c>
      <c r="AA585">
        <v>47.5136276</v>
      </c>
      <c r="AB585">
        <v>52.4863724</v>
      </c>
      <c r="AC585" t="s">
        <v>53</v>
      </c>
      <c r="AD585">
        <v>15043</v>
      </c>
      <c r="AE585">
        <v>6257</v>
      </c>
      <c r="AF585">
        <v>943.43</v>
      </c>
      <c r="AG585">
        <v>5</v>
      </c>
      <c r="AH585">
        <v>1156</v>
      </c>
      <c r="AI585">
        <v>26.731999999999999</v>
      </c>
      <c r="AJ585">
        <v>22.8</v>
      </c>
      <c r="AK585">
        <v>17.82</v>
      </c>
      <c r="AL585">
        <v>20.04</v>
      </c>
      <c r="AM585">
        <v>1001</v>
      </c>
      <c r="AN585">
        <v>28.59</v>
      </c>
      <c r="AO585">
        <v>7.22</v>
      </c>
      <c r="AP585">
        <v>28.3</v>
      </c>
      <c r="AQ585">
        <v>11</v>
      </c>
    </row>
    <row r="586" spans="1:43" x14ac:dyDescent="0.3">
      <c r="A586">
        <v>585</v>
      </c>
      <c r="B586" t="s">
        <v>1614</v>
      </c>
      <c r="C586">
        <v>2024</v>
      </c>
      <c r="D586" t="s">
        <v>1484</v>
      </c>
      <c r="E586">
        <v>1</v>
      </c>
      <c r="F586" t="s">
        <v>1139</v>
      </c>
      <c r="G586" t="s">
        <v>1615</v>
      </c>
      <c r="H586" t="s">
        <v>100</v>
      </c>
      <c r="I586" t="s">
        <v>1615</v>
      </c>
      <c r="J586" t="s">
        <v>50</v>
      </c>
      <c r="K586">
        <v>7</v>
      </c>
      <c r="L586">
        <v>3</v>
      </c>
      <c r="M586">
        <v>1.4</v>
      </c>
      <c r="N586">
        <v>1686</v>
      </c>
      <c r="O586">
        <v>1118</v>
      </c>
      <c r="P586">
        <v>1.4</v>
      </c>
      <c r="Q586">
        <v>40</v>
      </c>
      <c r="R586">
        <v>5.3</v>
      </c>
      <c r="S586">
        <v>1.84</v>
      </c>
      <c r="T586" t="s">
        <v>71</v>
      </c>
      <c r="U586">
        <v>13838</v>
      </c>
      <c r="V586">
        <v>2</v>
      </c>
      <c r="W586">
        <v>3</v>
      </c>
      <c r="X586">
        <v>1095</v>
      </c>
      <c r="Y586">
        <v>8</v>
      </c>
      <c r="Z586" t="s">
        <v>337</v>
      </c>
      <c r="AA586">
        <v>53</v>
      </c>
      <c r="AB586">
        <v>47</v>
      </c>
      <c r="AC586" t="s">
        <v>53</v>
      </c>
      <c r="AD586">
        <v>11968</v>
      </c>
      <c r="AE586">
        <v>2365</v>
      </c>
      <c r="AF586">
        <v>1100.5</v>
      </c>
      <c r="AG586">
        <v>1</v>
      </c>
      <c r="AH586">
        <v>1591</v>
      </c>
      <c r="AI586">
        <v>21.097999999999999</v>
      </c>
      <c r="AJ586">
        <v>8.6999999999999993</v>
      </c>
      <c r="AK586">
        <v>1.9</v>
      </c>
      <c r="AL586">
        <v>3</v>
      </c>
      <c r="AM586">
        <v>1001</v>
      </c>
      <c r="AN586">
        <v>28.59</v>
      </c>
      <c r="AO586">
        <v>2.96</v>
      </c>
      <c r="AP586">
        <v>8</v>
      </c>
      <c r="AQ586">
        <v>2</v>
      </c>
    </row>
    <row r="587" spans="1:43" x14ac:dyDescent="0.3">
      <c r="A587">
        <v>586</v>
      </c>
      <c r="B587" t="s">
        <v>1616</v>
      </c>
      <c r="C587">
        <v>2024</v>
      </c>
      <c r="D587" t="s">
        <v>1617</v>
      </c>
      <c r="E587">
        <v>17</v>
      </c>
      <c r="F587" t="s">
        <v>1139</v>
      </c>
      <c r="G587" t="s">
        <v>1405</v>
      </c>
      <c r="H587" t="s">
        <v>48</v>
      </c>
      <c r="I587" t="s">
        <v>1618</v>
      </c>
      <c r="J587" t="s">
        <v>50</v>
      </c>
      <c r="K587">
        <v>3.7</v>
      </c>
      <c r="L587">
        <v>2.5</v>
      </c>
      <c r="M587">
        <v>1.8</v>
      </c>
      <c r="N587">
        <v>2181</v>
      </c>
      <c r="O587">
        <v>19950</v>
      </c>
      <c r="P587">
        <v>1.8</v>
      </c>
      <c r="Q587">
        <v>149</v>
      </c>
      <c r="R587">
        <v>24.9</v>
      </c>
      <c r="S587">
        <v>3</v>
      </c>
      <c r="T587" t="s">
        <v>96</v>
      </c>
      <c r="U587">
        <v>13369</v>
      </c>
      <c r="V587">
        <v>3</v>
      </c>
      <c r="W587">
        <v>4</v>
      </c>
      <c r="X587">
        <v>795</v>
      </c>
      <c r="Y587">
        <v>16.5</v>
      </c>
      <c r="Z587" t="s">
        <v>82</v>
      </c>
      <c r="AA587">
        <v>50</v>
      </c>
      <c r="AB587">
        <v>50</v>
      </c>
      <c r="AC587" t="s">
        <v>53</v>
      </c>
      <c r="AD587">
        <v>8991</v>
      </c>
      <c r="AE587">
        <v>4302</v>
      </c>
      <c r="AF587">
        <v>1450.67</v>
      </c>
      <c r="AG587">
        <v>6</v>
      </c>
      <c r="AH587">
        <v>1139</v>
      </c>
      <c r="AI587">
        <v>23.058583333333331</v>
      </c>
      <c r="AJ587">
        <v>20.260000000000002</v>
      </c>
      <c r="AK587">
        <v>20.5</v>
      </c>
      <c r="AL587">
        <v>13.13</v>
      </c>
      <c r="AM587">
        <v>1201</v>
      </c>
      <c r="AN587">
        <v>14.3</v>
      </c>
      <c r="AO587">
        <v>11.04</v>
      </c>
      <c r="AP587">
        <v>16.5</v>
      </c>
      <c r="AQ587">
        <v>3</v>
      </c>
    </row>
    <row r="588" spans="1:43" x14ac:dyDescent="0.3">
      <c r="A588">
        <v>587</v>
      </c>
      <c r="B588" t="s">
        <v>1619</v>
      </c>
      <c r="C588">
        <v>2024</v>
      </c>
      <c r="D588" t="s">
        <v>1617</v>
      </c>
      <c r="E588">
        <v>9</v>
      </c>
      <c r="F588" t="s">
        <v>1139</v>
      </c>
      <c r="G588" t="s">
        <v>870</v>
      </c>
      <c r="H588" t="s">
        <v>493</v>
      </c>
      <c r="I588" t="s">
        <v>1620</v>
      </c>
      <c r="J588" t="s">
        <v>50</v>
      </c>
      <c r="K588">
        <v>11.2</v>
      </c>
      <c r="L588">
        <v>6.8</v>
      </c>
      <c r="M588">
        <v>1.3</v>
      </c>
      <c r="N588">
        <v>60979</v>
      </c>
      <c r="O588">
        <v>652524</v>
      </c>
      <c r="P588">
        <v>1.3</v>
      </c>
      <c r="Q588">
        <v>895</v>
      </c>
      <c r="R588">
        <v>36.200000000000003</v>
      </c>
      <c r="S588">
        <v>2.95</v>
      </c>
      <c r="T588" t="s">
        <v>77</v>
      </c>
      <c r="U588">
        <v>269733</v>
      </c>
      <c r="V588">
        <v>9</v>
      </c>
      <c r="W588">
        <v>11</v>
      </c>
      <c r="X588">
        <v>18933</v>
      </c>
      <c r="Y588">
        <v>22</v>
      </c>
      <c r="Z588" t="s">
        <v>78</v>
      </c>
      <c r="AA588">
        <v>41</v>
      </c>
      <c r="AB588">
        <v>59</v>
      </c>
      <c r="AC588" t="s">
        <v>53</v>
      </c>
      <c r="AD588">
        <v>169857</v>
      </c>
      <c r="AE588">
        <v>111175</v>
      </c>
      <c r="AF588">
        <v>1164.33</v>
      </c>
      <c r="AG588">
        <v>7</v>
      </c>
      <c r="AH588">
        <v>818</v>
      </c>
      <c r="AI588">
        <v>31.523785714285712</v>
      </c>
      <c r="AJ588">
        <v>25.16</v>
      </c>
      <c r="AK588">
        <v>18.14</v>
      </c>
      <c r="AL588">
        <v>5.76</v>
      </c>
      <c r="AM588">
        <v>1201</v>
      </c>
      <c r="AN588">
        <v>14.3</v>
      </c>
      <c r="AO588">
        <v>15.26</v>
      </c>
      <c r="AP588">
        <v>22</v>
      </c>
      <c r="AQ588">
        <v>9</v>
      </c>
    </row>
    <row r="589" spans="1:43" x14ac:dyDescent="0.3">
      <c r="A589">
        <v>588</v>
      </c>
      <c r="B589" t="s">
        <v>1621</v>
      </c>
      <c r="C589">
        <v>2024</v>
      </c>
      <c r="D589" t="s">
        <v>1617</v>
      </c>
      <c r="E589">
        <v>5</v>
      </c>
      <c r="F589" t="s">
        <v>1139</v>
      </c>
      <c r="G589" t="s">
        <v>1405</v>
      </c>
      <c r="H589" t="s">
        <v>48</v>
      </c>
      <c r="I589" t="s">
        <v>1622</v>
      </c>
      <c r="J589" t="s">
        <v>50</v>
      </c>
      <c r="K589">
        <v>8</v>
      </c>
      <c r="L589">
        <v>8</v>
      </c>
      <c r="M589">
        <v>2.9</v>
      </c>
      <c r="N589">
        <v>2369</v>
      </c>
      <c r="O589">
        <v>7118</v>
      </c>
      <c r="P589">
        <v>2.9</v>
      </c>
      <c r="Q589">
        <v>91</v>
      </c>
      <c r="R589">
        <v>8.8000000000000007</v>
      </c>
      <c r="S589">
        <v>1.33</v>
      </c>
      <c r="T589" t="s">
        <v>58</v>
      </c>
      <c r="U589">
        <v>25443</v>
      </c>
      <c r="V589">
        <v>8</v>
      </c>
      <c r="W589">
        <v>9</v>
      </c>
      <c r="X589">
        <v>1077</v>
      </c>
      <c r="Y589">
        <v>22.3</v>
      </c>
      <c r="Z589" t="s">
        <v>116</v>
      </c>
      <c r="AA589">
        <v>61</v>
      </c>
      <c r="AB589">
        <v>39</v>
      </c>
      <c r="AC589" t="s">
        <v>53</v>
      </c>
      <c r="AD589">
        <v>16949</v>
      </c>
      <c r="AE589">
        <v>7403</v>
      </c>
      <c r="AF589">
        <v>1450.67</v>
      </c>
      <c r="AG589">
        <v>6</v>
      </c>
      <c r="AH589">
        <v>1139</v>
      </c>
      <c r="AI589">
        <v>23.058583333333331</v>
      </c>
      <c r="AJ589">
        <v>20.260000000000002</v>
      </c>
      <c r="AK589">
        <v>20.5</v>
      </c>
      <c r="AL589">
        <v>13.13</v>
      </c>
      <c r="AM589">
        <v>1201</v>
      </c>
      <c r="AN589">
        <v>14.3</v>
      </c>
      <c r="AO589">
        <v>5.26</v>
      </c>
      <c r="AP589">
        <v>22.3</v>
      </c>
      <c r="AQ589">
        <v>8</v>
      </c>
    </row>
    <row r="590" spans="1:43" x14ac:dyDescent="0.3">
      <c r="A590">
        <v>589</v>
      </c>
      <c r="B590" t="s">
        <v>1623</v>
      </c>
      <c r="C590">
        <v>2024</v>
      </c>
      <c r="D590" t="s">
        <v>1617</v>
      </c>
      <c r="E590">
        <v>15</v>
      </c>
      <c r="F590" t="s">
        <v>1139</v>
      </c>
      <c r="G590" t="s">
        <v>811</v>
      </c>
      <c r="H590" t="s">
        <v>100</v>
      </c>
      <c r="I590" t="s">
        <v>1624</v>
      </c>
      <c r="J590" t="s">
        <v>50</v>
      </c>
      <c r="K590">
        <v>4</v>
      </c>
      <c r="L590">
        <v>4</v>
      </c>
      <c r="M590">
        <v>2.9</v>
      </c>
      <c r="N590">
        <v>4053</v>
      </c>
      <c r="O590">
        <v>6201</v>
      </c>
      <c r="P590">
        <v>2.9</v>
      </c>
      <c r="Q590">
        <v>97</v>
      </c>
      <c r="R590">
        <v>5.6</v>
      </c>
      <c r="S590">
        <v>3.05</v>
      </c>
      <c r="T590" t="s">
        <v>71</v>
      </c>
      <c r="U590">
        <v>21491</v>
      </c>
      <c r="V590">
        <v>8</v>
      </c>
      <c r="W590">
        <v>6</v>
      </c>
      <c r="X590">
        <v>1509</v>
      </c>
      <c r="Y590">
        <v>17</v>
      </c>
      <c r="Z590" t="s">
        <v>337</v>
      </c>
      <c r="AA590">
        <v>53</v>
      </c>
      <c r="AB590">
        <v>47</v>
      </c>
      <c r="AC590" t="s">
        <v>53</v>
      </c>
      <c r="AD590">
        <v>20103</v>
      </c>
      <c r="AE590">
        <v>7474</v>
      </c>
      <c r="AF590">
        <v>913.31</v>
      </c>
      <c r="AG590">
        <v>10</v>
      </c>
      <c r="AH590">
        <v>382</v>
      </c>
      <c r="AI590">
        <v>34.574950000000001</v>
      </c>
      <c r="AJ590">
        <v>18.27</v>
      </c>
      <c r="AK590">
        <v>15.63</v>
      </c>
      <c r="AL590">
        <v>16.420000000000002</v>
      </c>
      <c r="AM590">
        <v>1201</v>
      </c>
      <c r="AN590">
        <v>14.3</v>
      </c>
      <c r="AO590">
        <v>3.98</v>
      </c>
      <c r="AP590">
        <v>17</v>
      </c>
      <c r="AQ590">
        <v>8</v>
      </c>
    </row>
    <row r="591" spans="1:43" x14ac:dyDescent="0.3">
      <c r="A591">
        <v>590</v>
      </c>
      <c r="B591" t="s">
        <v>1625</v>
      </c>
      <c r="C591">
        <v>2024</v>
      </c>
      <c r="D591" t="s">
        <v>1617</v>
      </c>
      <c r="E591">
        <v>116</v>
      </c>
      <c r="F591" t="s">
        <v>1139</v>
      </c>
      <c r="G591" t="s">
        <v>131</v>
      </c>
      <c r="H591" t="s">
        <v>100</v>
      </c>
      <c r="I591" t="s">
        <v>132</v>
      </c>
      <c r="J591" t="s">
        <v>65</v>
      </c>
      <c r="K591">
        <v>6.9</v>
      </c>
      <c r="L591">
        <v>12.3</v>
      </c>
      <c r="M591">
        <v>2</v>
      </c>
      <c r="N591">
        <v>5930</v>
      </c>
      <c r="O591">
        <v>4535</v>
      </c>
      <c r="P591">
        <v>2</v>
      </c>
      <c r="Q591">
        <v>70</v>
      </c>
      <c r="R591">
        <v>4.8</v>
      </c>
      <c r="S591">
        <v>3.39</v>
      </c>
      <c r="T591" t="s">
        <v>96</v>
      </c>
      <c r="U591">
        <v>19692</v>
      </c>
      <c r="V591">
        <v>3</v>
      </c>
      <c r="W591">
        <v>5</v>
      </c>
      <c r="X591">
        <v>949</v>
      </c>
      <c r="Y591">
        <v>12.2</v>
      </c>
      <c r="Z591" t="s">
        <v>59</v>
      </c>
      <c r="AA591">
        <v>49</v>
      </c>
      <c r="AB591">
        <v>51</v>
      </c>
      <c r="AC591" t="s">
        <v>53</v>
      </c>
      <c r="AD591">
        <v>14270</v>
      </c>
      <c r="AE591">
        <v>6352</v>
      </c>
      <c r="AF591">
        <v>1349.57</v>
      </c>
      <c r="AG591">
        <v>37</v>
      </c>
      <c r="AH591">
        <v>29</v>
      </c>
      <c r="AI591">
        <v>35.237824324324329</v>
      </c>
      <c r="AJ591">
        <v>25.61</v>
      </c>
      <c r="AK591">
        <v>22.27</v>
      </c>
      <c r="AL591">
        <v>5.48</v>
      </c>
      <c r="AM591">
        <v>1201</v>
      </c>
      <c r="AN591">
        <v>14.3</v>
      </c>
      <c r="AO591">
        <v>3.12</v>
      </c>
      <c r="AP591">
        <v>12.2</v>
      </c>
      <c r="AQ591">
        <v>3</v>
      </c>
    </row>
    <row r="592" spans="1:43" x14ac:dyDescent="0.3">
      <c r="A592">
        <v>591</v>
      </c>
      <c r="B592" t="s">
        <v>1626</v>
      </c>
      <c r="C592">
        <v>2024</v>
      </c>
      <c r="D592" t="s">
        <v>1617</v>
      </c>
      <c r="E592">
        <v>13</v>
      </c>
      <c r="F592" t="s">
        <v>1139</v>
      </c>
      <c r="G592" t="s">
        <v>1209</v>
      </c>
      <c r="H592" t="s">
        <v>1210</v>
      </c>
      <c r="I592" t="s">
        <v>1627</v>
      </c>
      <c r="J592" t="s">
        <v>50</v>
      </c>
      <c r="K592">
        <v>15.3</v>
      </c>
      <c r="L592">
        <v>6.5</v>
      </c>
      <c r="M592">
        <v>2</v>
      </c>
      <c r="N592">
        <v>17083</v>
      </c>
      <c r="O592">
        <v>15251</v>
      </c>
      <c r="P592">
        <v>2</v>
      </c>
      <c r="Q592">
        <v>145</v>
      </c>
      <c r="R592">
        <v>11.4</v>
      </c>
      <c r="S592">
        <v>3.17</v>
      </c>
      <c r="T592" t="s">
        <v>51</v>
      </c>
      <c r="U592">
        <v>79695</v>
      </c>
      <c r="V592">
        <v>1</v>
      </c>
      <c r="W592">
        <v>1</v>
      </c>
      <c r="X592">
        <v>2414</v>
      </c>
      <c r="Y592">
        <v>45.2</v>
      </c>
      <c r="Z592" t="s">
        <v>185</v>
      </c>
      <c r="AA592">
        <v>53</v>
      </c>
      <c r="AB592">
        <v>47</v>
      </c>
      <c r="AC592" t="s">
        <v>53</v>
      </c>
      <c r="AD592">
        <v>66001</v>
      </c>
      <c r="AE592">
        <v>18698</v>
      </c>
      <c r="AF592">
        <v>1402.96</v>
      </c>
      <c r="AG592">
        <v>3</v>
      </c>
      <c r="AH592">
        <v>1741</v>
      </c>
      <c r="AI592">
        <v>16.540166666666661</v>
      </c>
      <c r="AJ592">
        <v>21.31</v>
      </c>
      <c r="AK592">
        <v>8.9600000000000009</v>
      </c>
      <c r="AL592">
        <v>11.19</v>
      </c>
      <c r="AM592">
        <v>1201</v>
      </c>
      <c r="AN592">
        <v>14.3</v>
      </c>
      <c r="AO592">
        <v>5.76</v>
      </c>
      <c r="AP592">
        <v>45.2</v>
      </c>
      <c r="AQ592">
        <v>1</v>
      </c>
    </row>
    <row r="593" spans="1:43" x14ac:dyDescent="0.3">
      <c r="A593">
        <v>592</v>
      </c>
      <c r="B593" t="s">
        <v>1628</v>
      </c>
      <c r="C593">
        <v>2024</v>
      </c>
      <c r="D593" t="s">
        <v>1617</v>
      </c>
      <c r="E593">
        <v>172</v>
      </c>
      <c r="F593" t="s">
        <v>1139</v>
      </c>
      <c r="G593" t="s">
        <v>63</v>
      </c>
      <c r="H593" t="s">
        <v>1316</v>
      </c>
      <c r="I593" t="s">
        <v>1317</v>
      </c>
      <c r="J593" t="s">
        <v>50</v>
      </c>
      <c r="K593">
        <v>3.6</v>
      </c>
      <c r="L593">
        <v>4.2</v>
      </c>
      <c r="M593">
        <v>8.1</v>
      </c>
      <c r="N593">
        <v>4901</v>
      </c>
      <c r="O593">
        <v>10853</v>
      </c>
      <c r="P593">
        <v>8.1</v>
      </c>
      <c r="Q593">
        <v>101</v>
      </c>
      <c r="R593">
        <v>7.4</v>
      </c>
      <c r="S593">
        <v>4.87</v>
      </c>
      <c r="T593" t="s">
        <v>71</v>
      </c>
      <c r="U593">
        <v>13780</v>
      </c>
      <c r="V593">
        <v>3</v>
      </c>
      <c r="W593">
        <v>10</v>
      </c>
      <c r="X593">
        <v>1007</v>
      </c>
      <c r="Y593">
        <v>18.3</v>
      </c>
      <c r="Z593" t="s">
        <v>202</v>
      </c>
      <c r="AA593">
        <v>59</v>
      </c>
      <c r="AB593">
        <v>41</v>
      </c>
      <c r="AC593" t="s">
        <v>53</v>
      </c>
      <c r="AD593">
        <v>9125</v>
      </c>
      <c r="AE593">
        <v>4640</v>
      </c>
      <c r="AF593">
        <v>647.61</v>
      </c>
      <c r="AG593">
        <v>98</v>
      </c>
      <c r="AH593">
        <v>2</v>
      </c>
      <c r="AI593">
        <v>56.843244897959181</v>
      </c>
      <c r="AJ593">
        <v>29.74</v>
      </c>
      <c r="AK593">
        <v>38.11</v>
      </c>
      <c r="AL593">
        <v>19.260000000000002</v>
      </c>
      <c r="AM593">
        <v>1201</v>
      </c>
      <c r="AN593">
        <v>14.3</v>
      </c>
      <c r="AO593">
        <v>7.82</v>
      </c>
      <c r="AP593">
        <v>18.3</v>
      </c>
      <c r="AQ593">
        <v>3</v>
      </c>
    </row>
    <row r="594" spans="1:43" x14ac:dyDescent="0.3">
      <c r="A594">
        <v>593</v>
      </c>
      <c r="B594" t="s">
        <v>1629</v>
      </c>
      <c r="C594">
        <v>2024</v>
      </c>
      <c r="D594" t="s">
        <v>1617</v>
      </c>
      <c r="E594">
        <v>32</v>
      </c>
      <c r="F594" t="s">
        <v>1139</v>
      </c>
      <c r="G594" t="s">
        <v>239</v>
      </c>
      <c r="H594" t="s">
        <v>100</v>
      </c>
      <c r="I594" t="s">
        <v>239</v>
      </c>
      <c r="J594" t="s">
        <v>1057</v>
      </c>
      <c r="K594">
        <v>5.6</v>
      </c>
      <c r="L594">
        <v>6.7</v>
      </c>
      <c r="M594">
        <v>3.5</v>
      </c>
      <c r="N594">
        <v>3711</v>
      </c>
      <c r="O594">
        <v>3825</v>
      </c>
      <c r="P594">
        <v>3.5</v>
      </c>
      <c r="Q594">
        <v>61</v>
      </c>
      <c r="R594">
        <v>6.7</v>
      </c>
      <c r="S594">
        <v>4.2699999999999996</v>
      </c>
      <c r="T594" t="s">
        <v>71</v>
      </c>
      <c r="U594">
        <v>14432</v>
      </c>
      <c r="V594">
        <v>5</v>
      </c>
      <c r="W594">
        <v>6</v>
      </c>
      <c r="X594">
        <v>869</v>
      </c>
      <c r="Y594">
        <v>37.5</v>
      </c>
      <c r="Z594" t="s">
        <v>146</v>
      </c>
      <c r="AA594">
        <v>55</v>
      </c>
      <c r="AB594">
        <v>45</v>
      </c>
      <c r="AC594" t="s">
        <v>53</v>
      </c>
      <c r="AD594">
        <v>9108</v>
      </c>
      <c r="AE594">
        <v>4282</v>
      </c>
      <c r="AF594">
        <v>1161.4000000000001</v>
      </c>
      <c r="AG594">
        <v>22</v>
      </c>
      <c r="AH594">
        <v>154</v>
      </c>
      <c r="AI594">
        <v>33.419431818181813</v>
      </c>
      <c r="AJ594">
        <v>25.98</v>
      </c>
      <c r="AK594">
        <v>28.31</v>
      </c>
      <c r="AL594">
        <v>8.91</v>
      </c>
      <c r="AM594">
        <v>1201</v>
      </c>
      <c r="AN594">
        <v>14.3</v>
      </c>
      <c r="AO594">
        <v>4.78</v>
      </c>
      <c r="AP594">
        <v>37.5</v>
      </c>
      <c r="AQ594">
        <v>5</v>
      </c>
    </row>
    <row r="595" spans="1:43" x14ac:dyDescent="0.3">
      <c r="A595">
        <v>594</v>
      </c>
      <c r="B595" t="s">
        <v>1630</v>
      </c>
      <c r="C595">
        <v>2024</v>
      </c>
      <c r="D595" t="s">
        <v>1617</v>
      </c>
      <c r="E595">
        <v>24</v>
      </c>
      <c r="F595" t="s">
        <v>1139</v>
      </c>
      <c r="G595" t="s">
        <v>239</v>
      </c>
      <c r="H595" t="s">
        <v>100</v>
      </c>
      <c r="I595" t="s">
        <v>1204</v>
      </c>
      <c r="J595" t="s">
        <v>65</v>
      </c>
      <c r="K595">
        <v>10</v>
      </c>
      <c r="L595">
        <v>7.5</v>
      </c>
      <c r="M595">
        <v>6</v>
      </c>
      <c r="N595">
        <v>11797</v>
      </c>
      <c r="O595">
        <v>15003</v>
      </c>
      <c r="P595">
        <v>6</v>
      </c>
      <c r="Q595">
        <v>126</v>
      </c>
      <c r="R595">
        <v>12</v>
      </c>
      <c r="S595">
        <v>3.81</v>
      </c>
      <c r="T595" t="s">
        <v>77</v>
      </c>
      <c r="U595">
        <v>19770</v>
      </c>
      <c r="V595">
        <v>7</v>
      </c>
      <c r="W595">
        <v>6</v>
      </c>
      <c r="X595">
        <v>855</v>
      </c>
      <c r="Y595">
        <v>23.3</v>
      </c>
      <c r="Z595" t="s">
        <v>124</v>
      </c>
      <c r="AA595">
        <v>41</v>
      </c>
      <c r="AB595">
        <v>59</v>
      </c>
      <c r="AC595" t="s">
        <v>53</v>
      </c>
      <c r="AD595">
        <v>13651</v>
      </c>
      <c r="AE595">
        <v>6463</v>
      </c>
      <c r="AF595">
        <v>1161.4000000000001</v>
      </c>
      <c r="AG595">
        <v>22</v>
      </c>
      <c r="AH595">
        <v>154</v>
      </c>
      <c r="AI595">
        <v>33.419431818181813</v>
      </c>
      <c r="AJ595">
        <v>25.98</v>
      </c>
      <c r="AK595">
        <v>28.31</v>
      </c>
      <c r="AL595">
        <v>8.91</v>
      </c>
      <c r="AM595">
        <v>1201</v>
      </c>
      <c r="AN595">
        <v>14.3</v>
      </c>
      <c r="AO595">
        <v>8.4</v>
      </c>
      <c r="AP595">
        <v>23.3</v>
      </c>
      <c r="AQ595">
        <v>7</v>
      </c>
    </row>
    <row r="596" spans="1:43" x14ac:dyDescent="0.3">
      <c r="A596">
        <v>595</v>
      </c>
      <c r="B596" t="s">
        <v>1631</v>
      </c>
      <c r="C596">
        <v>2024</v>
      </c>
      <c r="D596" t="s">
        <v>1617</v>
      </c>
      <c r="E596">
        <v>24</v>
      </c>
      <c r="F596" t="s">
        <v>1139</v>
      </c>
      <c r="G596" t="s">
        <v>239</v>
      </c>
      <c r="H596" t="s">
        <v>100</v>
      </c>
      <c r="I596" t="s">
        <v>1632</v>
      </c>
      <c r="J596" t="s">
        <v>65</v>
      </c>
      <c r="K596">
        <v>7.3</v>
      </c>
      <c r="L596">
        <v>7.5</v>
      </c>
      <c r="M596">
        <v>6.8</v>
      </c>
      <c r="N596">
        <v>8422</v>
      </c>
      <c r="O596">
        <v>31209</v>
      </c>
      <c r="P596">
        <v>6.8</v>
      </c>
      <c r="Q596">
        <v>184</v>
      </c>
      <c r="R596">
        <v>12.8</v>
      </c>
      <c r="S596">
        <v>4.45</v>
      </c>
      <c r="T596" t="s">
        <v>96</v>
      </c>
      <c r="U596">
        <v>16382</v>
      </c>
      <c r="V596">
        <v>6</v>
      </c>
      <c r="W596">
        <v>5</v>
      </c>
      <c r="X596">
        <v>791</v>
      </c>
      <c r="Y596">
        <v>27.2</v>
      </c>
      <c r="Z596" t="s">
        <v>82</v>
      </c>
      <c r="AA596">
        <v>59</v>
      </c>
      <c r="AB596">
        <v>41</v>
      </c>
      <c r="AC596" t="s">
        <v>53</v>
      </c>
      <c r="AD596">
        <v>13009</v>
      </c>
      <c r="AE596">
        <v>6279</v>
      </c>
      <c r="AF596">
        <v>1161.4000000000001</v>
      </c>
      <c r="AG596">
        <v>22</v>
      </c>
      <c r="AH596">
        <v>154</v>
      </c>
      <c r="AI596">
        <v>33.419431818181813</v>
      </c>
      <c r="AJ596">
        <v>25.98</v>
      </c>
      <c r="AK596">
        <v>28.31</v>
      </c>
      <c r="AL596">
        <v>8.91</v>
      </c>
      <c r="AM596">
        <v>1201</v>
      </c>
      <c r="AN596">
        <v>14.3</v>
      </c>
      <c r="AO596">
        <v>9.1999999999999993</v>
      </c>
      <c r="AP596">
        <v>27.2</v>
      </c>
      <c r="AQ596">
        <v>6</v>
      </c>
    </row>
    <row r="597" spans="1:43" x14ac:dyDescent="0.3">
      <c r="A597">
        <v>596</v>
      </c>
      <c r="B597" t="s">
        <v>1633</v>
      </c>
      <c r="C597">
        <v>2024</v>
      </c>
      <c r="D597" t="s">
        <v>1617</v>
      </c>
      <c r="E597">
        <v>24</v>
      </c>
      <c r="F597" t="s">
        <v>1139</v>
      </c>
      <c r="G597" t="s">
        <v>870</v>
      </c>
      <c r="H597" t="s">
        <v>493</v>
      </c>
      <c r="I597" t="s">
        <v>1620</v>
      </c>
      <c r="J597" t="s">
        <v>65</v>
      </c>
      <c r="K597">
        <v>7.9</v>
      </c>
      <c r="L597">
        <v>11.4</v>
      </c>
      <c r="M597">
        <v>2.1</v>
      </c>
      <c r="N597">
        <v>3796</v>
      </c>
      <c r="O597">
        <v>2043</v>
      </c>
      <c r="P597">
        <v>2.1</v>
      </c>
      <c r="Q597">
        <v>37</v>
      </c>
      <c r="R597">
        <v>5.2</v>
      </c>
      <c r="S597">
        <v>3.51</v>
      </c>
      <c r="T597" t="s">
        <v>71</v>
      </c>
      <c r="U597">
        <v>12332</v>
      </c>
      <c r="V597">
        <v>2</v>
      </c>
      <c r="W597">
        <v>2</v>
      </c>
      <c r="X597">
        <v>743</v>
      </c>
      <c r="Y597">
        <v>12.8</v>
      </c>
      <c r="Z597" t="s">
        <v>510</v>
      </c>
      <c r="AA597">
        <v>43</v>
      </c>
      <c r="AB597">
        <v>57</v>
      </c>
      <c r="AC597" t="s">
        <v>53</v>
      </c>
      <c r="AD597">
        <v>8047</v>
      </c>
      <c r="AE597">
        <v>4136</v>
      </c>
      <c r="AF597">
        <v>1118.8599999999999</v>
      </c>
      <c r="AG597">
        <v>7</v>
      </c>
      <c r="AH597">
        <v>818</v>
      </c>
      <c r="AI597">
        <v>31.523785714285712</v>
      </c>
      <c r="AJ597">
        <v>25.2</v>
      </c>
      <c r="AK597">
        <v>18.670000000000002</v>
      </c>
      <c r="AL597">
        <v>4.17</v>
      </c>
      <c r="AM597">
        <v>1201</v>
      </c>
      <c r="AN597">
        <v>14.3</v>
      </c>
      <c r="AO597">
        <v>3.34</v>
      </c>
      <c r="AP597">
        <v>12.8</v>
      </c>
      <c r="AQ597">
        <v>2</v>
      </c>
    </row>
    <row r="598" spans="1:43" x14ac:dyDescent="0.3">
      <c r="A598">
        <v>597</v>
      </c>
      <c r="B598" t="s">
        <v>1634</v>
      </c>
      <c r="C598">
        <v>2024</v>
      </c>
      <c r="D598" t="s">
        <v>1617</v>
      </c>
      <c r="E598">
        <v>6</v>
      </c>
      <c r="F598" t="s">
        <v>1139</v>
      </c>
      <c r="G598" t="s">
        <v>1055</v>
      </c>
      <c r="H598" t="s">
        <v>100</v>
      </c>
      <c r="I598" t="s">
        <v>1635</v>
      </c>
      <c r="J598" t="s">
        <v>50</v>
      </c>
      <c r="K598">
        <v>6.1</v>
      </c>
      <c r="L598">
        <v>8.6999999999999993</v>
      </c>
      <c r="M598">
        <v>4.3</v>
      </c>
      <c r="N598">
        <v>9460</v>
      </c>
      <c r="O598">
        <v>29968</v>
      </c>
      <c r="P598">
        <v>4.3</v>
      </c>
      <c r="Q598">
        <v>148</v>
      </c>
      <c r="R598">
        <v>11.2</v>
      </c>
      <c r="S598">
        <v>3.44</v>
      </c>
      <c r="T598" t="s">
        <v>77</v>
      </c>
      <c r="U598">
        <v>37891</v>
      </c>
      <c r="V598">
        <v>0</v>
      </c>
      <c r="W598">
        <v>0</v>
      </c>
      <c r="X598">
        <v>1119</v>
      </c>
      <c r="Y598">
        <v>34.1</v>
      </c>
      <c r="Z598" t="s">
        <v>1451</v>
      </c>
      <c r="AA598">
        <v>45.342405960000001</v>
      </c>
      <c r="AB598">
        <v>54.657594039999999</v>
      </c>
      <c r="AC598" t="s">
        <v>53</v>
      </c>
      <c r="AD598">
        <v>27834</v>
      </c>
      <c r="AE598">
        <v>11370</v>
      </c>
      <c r="AF598">
        <v>1091.56</v>
      </c>
      <c r="AG598">
        <v>3</v>
      </c>
      <c r="AH598">
        <v>629</v>
      </c>
      <c r="AI598">
        <v>33.960999999999999</v>
      </c>
      <c r="AJ598">
        <v>16.54</v>
      </c>
      <c r="AK598">
        <v>18.73</v>
      </c>
      <c r="AL598">
        <v>12.02</v>
      </c>
      <c r="AM598">
        <v>1201</v>
      </c>
      <c r="AN598">
        <v>14.3</v>
      </c>
      <c r="AO598">
        <v>7.06</v>
      </c>
      <c r="AP598">
        <v>34.1</v>
      </c>
      <c r="AQ598">
        <v>0</v>
      </c>
    </row>
    <row r="599" spans="1:43" x14ac:dyDescent="0.3">
      <c r="A599">
        <v>598</v>
      </c>
      <c r="B599" t="s">
        <v>1636</v>
      </c>
      <c r="C599">
        <v>2024</v>
      </c>
      <c r="D599" t="s">
        <v>1617</v>
      </c>
      <c r="E599">
        <v>8</v>
      </c>
      <c r="F599" t="s">
        <v>1139</v>
      </c>
      <c r="G599" t="s">
        <v>1227</v>
      </c>
      <c r="H599" t="s">
        <v>48</v>
      </c>
      <c r="I599" t="s">
        <v>1637</v>
      </c>
      <c r="J599" t="s">
        <v>50</v>
      </c>
      <c r="K599">
        <v>4.3</v>
      </c>
      <c r="L599">
        <v>10.1</v>
      </c>
      <c r="M599">
        <v>1.3</v>
      </c>
      <c r="N599">
        <v>4847</v>
      </c>
      <c r="O599">
        <v>1684</v>
      </c>
      <c r="P599">
        <v>1.3</v>
      </c>
      <c r="Q599">
        <v>36</v>
      </c>
      <c r="R599">
        <v>5.6</v>
      </c>
      <c r="S599">
        <v>3</v>
      </c>
      <c r="T599" t="s">
        <v>77</v>
      </c>
      <c r="U599">
        <v>19799</v>
      </c>
      <c r="V599">
        <v>2</v>
      </c>
      <c r="W599">
        <v>1</v>
      </c>
      <c r="X599">
        <v>1774</v>
      </c>
      <c r="Y599">
        <v>10.7</v>
      </c>
      <c r="Z599" t="s">
        <v>521</v>
      </c>
      <c r="AA599">
        <v>66</v>
      </c>
      <c r="AB599">
        <v>34</v>
      </c>
      <c r="AC599" t="s">
        <v>53</v>
      </c>
      <c r="AD599">
        <v>14985</v>
      </c>
      <c r="AE599">
        <v>6961</v>
      </c>
      <c r="AF599">
        <v>1634.04</v>
      </c>
      <c r="AG599">
        <v>5</v>
      </c>
      <c r="AH599">
        <v>786</v>
      </c>
      <c r="AI599">
        <v>23.9251</v>
      </c>
      <c r="AJ599">
        <v>15.78</v>
      </c>
      <c r="AK599">
        <v>11.82</v>
      </c>
      <c r="AL599">
        <v>9.68</v>
      </c>
      <c r="AM599">
        <v>1201</v>
      </c>
      <c r="AN599">
        <v>14.3</v>
      </c>
      <c r="AO599">
        <v>3.02</v>
      </c>
      <c r="AP599">
        <v>10.7</v>
      </c>
      <c r="AQ599">
        <v>2</v>
      </c>
    </row>
    <row r="600" spans="1:43" x14ac:dyDescent="0.3">
      <c r="A600">
        <v>599</v>
      </c>
      <c r="B600" t="s">
        <v>1638</v>
      </c>
      <c r="C600">
        <v>2024</v>
      </c>
      <c r="D600" t="s">
        <v>1617</v>
      </c>
      <c r="E600">
        <v>10</v>
      </c>
      <c r="F600" t="s">
        <v>1139</v>
      </c>
      <c r="G600" t="s">
        <v>1235</v>
      </c>
      <c r="H600" t="s">
        <v>100</v>
      </c>
      <c r="I600" t="s">
        <v>1235</v>
      </c>
      <c r="J600" t="s">
        <v>65</v>
      </c>
      <c r="K600">
        <v>8.5</v>
      </c>
      <c r="L600">
        <v>13.7</v>
      </c>
      <c r="M600">
        <v>9.3000000000000007</v>
      </c>
      <c r="N600">
        <v>2992</v>
      </c>
      <c r="O600">
        <v>6259</v>
      </c>
      <c r="P600">
        <v>6.6024731269999997</v>
      </c>
      <c r="Q600">
        <v>76</v>
      </c>
      <c r="R600">
        <v>10.8</v>
      </c>
      <c r="S600">
        <v>3.16</v>
      </c>
      <c r="T600" t="s">
        <v>58</v>
      </c>
      <c r="U600">
        <v>12649</v>
      </c>
      <c r="V600">
        <v>0</v>
      </c>
      <c r="W600">
        <v>0</v>
      </c>
      <c r="X600">
        <v>948</v>
      </c>
      <c r="Y600">
        <v>17.3</v>
      </c>
      <c r="Z600" t="s">
        <v>59</v>
      </c>
      <c r="AA600">
        <v>50</v>
      </c>
      <c r="AB600">
        <v>50</v>
      </c>
      <c r="AC600" t="s">
        <v>53</v>
      </c>
      <c r="AD600">
        <v>6516</v>
      </c>
      <c r="AE600">
        <v>5379</v>
      </c>
      <c r="AF600">
        <v>1222.8800000000001</v>
      </c>
      <c r="AG600">
        <v>7</v>
      </c>
      <c r="AH600">
        <v>855</v>
      </c>
      <c r="AI600">
        <v>30.616428571428571</v>
      </c>
      <c r="AJ600">
        <v>19.73</v>
      </c>
      <c r="AK600">
        <v>18.03</v>
      </c>
      <c r="AL600">
        <v>4.42</v>
      </c>
      <c r="AM600">
        <v>1201</v>
      </c>
      <c r="AN600">
        <v>14.3</v>
      </c>
      <c r="AO600">
        <v>9.9</v>
      </c>
      <c r="AP600">
        <v>17.3</v>
      </c>
      <c r="AQ600">
        <v>0</v>
      </c>
    </row>
    <row r="601" spans="1:43" x14ac:dyDescent="0.3">
      <c r="A601">
        <v>600</v>
      </c>
      <c r="B601" t="s">
        <v>1639</v>
      </c>
      <c r="C601">
        <v>2024</v>
      </c>
      <c r="D601" t="s">
        <v>1617</v>
      </c>
      <c r="E601">
        <v>12</v>
      </c>
      <c r="F601" t="s">
        <v>1139</v>
      </c>
      <c r="G601" t="s">
        <v>555</v>
      </c>
      <c r="H601" t="s">
        <v>100</v>
      </c>
      <c r="I601" t="s">
        <v>556</v>
      </c>
      <c r="J601" t="s">
        <v>50</v>
      </c>
      <c r="K601">
        <v>8.1</v>
      </c>
      <c r="L601">
        <v>5.8</v>
      </c>
      <c r="M601">
        <v>3</v>
      </c>
      <c r="N601">
        <v>4768</v>
      </c>
      <c r="O601">
        <v>9714</v>
      </c>
      <c r="P601">
        <v>3</v>
      </c>
      <c r="Q601">
        <v>94</v>
      </c>
      <c r="R601">
        <v>10.4</v>
      </c>
      <c r="S601">
        <v>2.69</v>
      </c>
      <c r="T601" t="s">
        <v>71</v>
      </c>
      <c r="U601">
        <v>28122</v>
      </c>
      <c r="V601">
        <v>0</v>
      </c>
      <c r="W601">
        <v>1</v>
      </c>
      <c r="X601">
        <v>1774</v>
      </c>
      <c r="Y601">
        <v>23.3</v>
      </c>
      <c r="Z601" t="s">
        <v>78</v>
      </c>
      <c r="AA601">
        <v>40</v>
      </c>
      <c r="AB601">
        <v>60</v>
      </c>
      <c r="AC601" t="s">
        <v>53</v>
      </c>
      <c r="AD601">
        <v>22096</v>
      </c>
      <c r="AE601">
        <v>5864</v>
      </c>
      <c r="AF601">
        <v>1257.07</v>
      </c>
      <c r="AG601">
        <v>10</v>
      </c>
      <c r="AH601">
        <v>612</v>
      </c>
      <c r="AI601">
        <v>27.2866</v>
      </c>
      <c r="AJ601">
        <v>27.35</v>
      </c>
      <c r="AK601">
        <v>13.88</v>
      </c>
      <c r="AL601">
        <v>3.81</v>
      </c>
      <c r="AM601">
        <v>1201</v>
      </c>
      <c r="AN601">
        <v>14.3</v>
      </c>
      <c r="AO601">
        <v>5.96</v>
      </c>
      <c r="AP601">
        <v>23.3</v>
      </c>
      <c r="AQ601">
        <v>0</v>
      </c>
    </row>
    <row r="602" spans="1:43" x14ac:dyDescent="0.3">
      <c r="A602">
        <v>601</v>
      </c>
      <c r="B602" t="s">
        <v>1640</v>
      </c>
      <c r="C602">
        <v>2024</v>
      </c>
      <c r="D602" t="s">
        <v>1617</v>
      </c>
      <c r="E602">
        <v>98</v>
      </c>
      <c r="F602" t="s">
        <v>1139</v>
      </c>
      <c r="G602" t="s">
        <v>131</v>
      </c>
      <c r="H602" t="s">
        <v>100</v>
      </c>
      <c r="I602" t="s">
        <v>131</v>
      </c>
      <c r="J602" t="s">
        <v>65</v>
      </c>
      <c r="K602">
        <v>4.2</v>
      </c>
      <c r="L602">
        <v>6.4</v>
      </c>
      <c r="M602">
        <v>2.5</v>
      </c>
      <c r="N602">
        <v>3817</v>
      </c>
      <c r="O602">
        <v>22210</v>
      </c>
      <c r="P602">
        <v>2.5</v>
      </c>
      <c r="Q602">
        <v>154</v>
      </c>
      <c r="R602">
        <v>18</v>
      </c>
      <c r="S602">
        <v>2.71</v>
      </c>
      <c r="T602" t="s">
        <v>51</v>
      </c>
      <c r="U602">
        <v>25232</v>
      </c>
      <c r="V602">
        <v>4</v>
      </c>
      <c r="W602">
        <v>4</v>
      </c>
      <c r="X602">
        <v>1407</v>
      </c>
      <c r="Y602">
        <v>24.7</v>
      </c>
      <c r="Z602" t="s">
        <v>59</v>
      </c>
      <c r="AA602">
        <v>50</v>
      </c>
      <c r="AB602">
        <v>50</v>
      </c>
      <c r="AC602" t="s">
        <v>53</v>
      </c>
      <c r="AD602">
        <v>19057</v>
      </c>
      <c r="AE602">
        <v>6400</v>
      </c>
      <c r="AF602">
        <v>1349.57</v>
      </c>
      <c r="AG602">
        <v>37</v>
      </c>
      <c r="AH602">
        <v>29</v>
      </c>
      <c r="AI602">
        <v>35.237824324324329</v>
      </c>
      <c r="AJ602">
        <v>25.61</v>
      </c>
      <c r="AK602">
        <v>22.27</v>
      </c>
      <c r="AL602">
        <v>5.48</v>
      </c>
      <c r="AM602">
        <v>1201</v>
      </c>
      <c r="AN602">
        <v>14.3</v>
      </c>
      <c r="AO602">
        <v>8.6999999999999993</v>
      </c>
      <c r="AP602">
        <v>24.7</v>
      </c>
      <c r="AQ602">
        <v>4</v>
      </c>
    </row>
    <row r="603" spans="1:43" x14ac:dyDescent="0.3">
      <c r="A603">
        <v>602</v>
      </c>
      <c r="B603" t="s">
        <v>1641</v>
      </c>
      <c r="C603">
        <v>2024</v>
      </c>
      <c r="D603" t="s">
        <v>1617</v>
      </c>
      <c r="E603">
        <v>12</v>
      </c>
      <c r="F603" t="s">
        <v>1139</v>
      </c>
      <c r="G603" t="s">
        <v>811</v>
      </c>
      <c r="H603" t="s">
        <v>100</v>
      </c>
      <c r="I603" t="s">
        <v>962</v>
      </c>
      <c r="J603" t="s">
        <v>50</v>
      </c>
      <c r="K603">
        <v>6.8</v>
      </c>
      <c r="L603">
        <v>8.3000000000000007</v>
      </c>
      <c r="M603">
        <v>2.2999999999999998</v>
      </c>
      <c r="N603">
        <v>13566</v>
      </c>
      <c r="O603">
        <v>26143</v>
      </c>
      <c r="P603">
        <v>2.2999999999999998</v>
      </c>
      <c r="Q603">
        <v>154</v>
      </c>
      <c r="R603">
        <v>8.4</v>
      </c>
      <c r="S603">
        <v>2.92</v>
      </c>
      <c r="T603" t="s">
        <v>51</v>
      </c>
      <c r="U603">
        <v>62991</v>
      </c>
      <c r="V603">
        <v>5</v>
      </c>
      <c r="W603">
        <v>5</v>
      </c>
      <c r="X603">
        <v>3317</v>
      </c>
      <c r="Y603">
        <v>30.6</v>
      </c>
      <c r="Z603" t="s">
        <v>66</v>
      </c>
      <c r="AA603">
        <v>52</v>
      </c>
      <c r="AB603">
        <v>48</v>
      </c>
      <c r="AC603" t="s">
        <v>53</v>
      </c>
      <c r="AD603">
        <v>32973</v>
      </c>
      <c r="AE603">
        <v>14342</v>
      </c>
      <c r="AF603">
        <v>913.31</v>
      </c>
      <c r="AG603">
        <v>10</v>
      </c>
      <c r="AH603">
        <v>382</v>
      </c>
      <c r="AI603">
        <v>34.574950000000001</v>
      </c>
      <c r="AJ603">
        <v>18.27</v>
      </c>
      <c r="AK603">
        <v>15.63</v>
      </c>
      <c r="AL603">
        <v>16.420000000000002</v>
      </c>
      <c r="AM603">
        <v>1201</v>
      </c>
      <c r="AN603">
        <v>14.3</v>
      </c>
      <c r="AO603">
        <v>4.74</v>
      </c>
      <c r="AP603">
        <v>30.6</v>
      </c>
      <c r="AQ603">
        <v>5</v>
      </c>
    </row>
    <row r="604" spans="1:43" x14ac:dyDescent="0.3">
      <c r="A604">
        <v>603</v>
      </c>
      <c r="B604" t="s">
        <v>1642</v>
      </c>
      <c r="C604">
        <v>2024</v>
      </c>
      <c r="D604" t="s">
        <v>1617</v>
      </c>
      <c r="E604">
        <v>173</v>
      </c>
      <c r="F604" t="s">
        <v>1139</v>
      </c>
      <c r="G604" t="s">
        <v>63</v>
      </c>
      <c r="H604" t="s">
        <v>64</v>
      </c>
      <c r="I604" t="s">
        <v>1643</v>
      </c>
      <c r="J604" t="s">
        <v>65</v>
      </c>
      <c r="K604">
        <v>3.4</v>
      </c>
      <c r="L604">
        <v>3.8</v>
      </c>
      <c r="M604">
        <v>9.3000000000000007</v>
      </c>
      <c r="N604">
        <v>4240</v>
      </c>
      <c r="O604">
        <v>20727</v>
      </c>
      <c r="P604">
        <v>9.3000000000000007</v>
      </c>
      <c r="Q604">
        <v>130</v>
      </c>
      <c r="R604">
        <v>9.4</v>
      </c>
      <c r="S604">
        <v>2.5</v>
      </c>
      <c r="T604" t="s">
        <v>51</v>
      </c>
      <c r="U604">
        <v>10317</v>
      </c>
      <c r="V604">
        <v>3</v>
      </c>
      <c r="W604">
        <v>24.9174297</v>
      </c>
      <c r="X604">
        <v>913</v>
      </c>
      <c r="Y604">
        <v>12.2</v>
      </c>
      <c r="Z604" t="s">
        <v>110</v>
      </c>
      <c r="AA604">
        <v>58.347695880000003</v>
      </c>
      <c r="AB604">
        <v>41.652304119999997</v>
      </c>
      <c r="AC604" t="s">
        <v>53</v>
      </c>
      <c r="AD604">
        <v>9029</v>
      </c>
      <c r="AE604">
        <v>6967</v>
      </c>
      <c r="AF604">
        <v>647.61</v>
      </c>
      <c r="AG604">
        <v>98</v>
      </c>
      <c r="AH604">
        <v>2</v>
      </c>
      <c r="AI604">
        <v>56.843244897959181</v>
      </c>
      <c r="AJ604">
        <v>29.74</v>
      </c>
      <c r="AK604">
        <v>38.11</v>
      </c>
      <c r="AL604">
        <v>19.260000000000002</v>
      </c>
      <c r="AM604">
        <v>1201</v>
      </c>
      <c r="AN604">
        <v>14.3</v>
      </c>
      <c r="AO604">
        <v>9.34</v>
      </c>
      <c r="AP604">
        <v>12.2</v>
      </c>
      <c r="AQ604">
        <v>3</v>
      </c>
    </row>
    <row r="605" spans="1:43" x14ac:dyDescent="0.3">
      <c r="A605">
        <v>604</v>
      </c>
      <c r="B605" t="s">
        <v>1644</v>
      </c>
      <c r="C605">
        <v>2024</v>
      </c>
      <c r="D605" t="s">
        <v>1617</v>
      </c>
      <c r="E605">
        <v>56</v>
      </c>
      <c r="F605" t="s">
        <v>1139</v>
      </c>
      <c r="G605" t="s">
        <v>286</v>
      </c>
      <c r="H605" t="s">
        <v>48</v>
      </c>
      <c r="I605" t="s">
        <v>287</v>
      </c>
      <c r="J605" t="s">
        <v>50</v>
      </c>
      <c r="K605">
        <v>4.9000000000000004</v>
      </c>
      <c r="L605">
        <v>3.9</v>
      </c>
      <c r="M605">
        <v>2.7</v>
      </c>
      <c r="N605">
        <v>1284</v>
      </c>
      <c r="O605">
        <v>5460</v>
      </c>
      <c r="P605">
        <v>2.7</v>
      </c>
      <c r="Q605">
        <v>68</v>
      </c>
      <c r="R605">
        <v>17.399999999999999</v>
      </c>
      <c r="S605">
        <v>2.2400000000000002</v>
      </c>
      <c r="T605" t="s">
        <v>71</v>
      </c>
      <c r="U605">
        <v>7338</v>
      </c>
      <c r="V605">
        <v>6</v>
      </c>
      <c r="W605">
        <v>8</v>
      </c>
      <c r="X605">
        <v>683</v>
      </c>
      <c r="Y605">
        <v>14.9</v>
      </c>
      <c r="Z605" t="s">
        <v>116</v>
      </c>
      <c r="AA605">
        <v>51</v>
      </c>
      <c r="AB605">
        <v>49</v>
      </c>
      <c r="AC605" t="s">
        <v>53</v>
      </c>
      <c r="AD605">
        <v>5952</v>
      </c>
      <c r="AE605">
        <v>2641</v>
      </c>
      <c r="AF605">
        <v>1470.93</v>
      </c>
      <c r="AG605">
        <v>24</v>
      </c>
      <c r="AH605">
        <v>95</v>
      </c>
      <c r="AI605">
        <v>29.87127083333333</v>
      </c>
      <c r="AJ605">
        <v>18.23</v>
      </c>
      <c r="AK605">
        <v>14.05</v>
      </c>
      <c r="AL605">
        <v>16.72</v>
      </c>
      <c r="AM605">
        <v>1201</v>
      </c>
      <c r="AN605">
        <v>14.3</v>
      </c>
      <c r="AO605">
        <v>8.58</v>
      </c>
      <c r="AP605">
        <v>14.9</v>
      </c>
      <c r="AQ605">
        <v>6</v>
      </c>
    </row>
    <row r="606" spans="1:43" x14ac:dyDescent="0.3">
      <c r="A606">
        <v>605</v>
      </c>
      <c r="B606" t="s">
        <v>1645</v>
      </c>
      <c r="C606">
        <v>2024</v>
      </c>
      <c r="D606" t="s">
        <v>1617</v>
      </c>
      <c r="E606">
        <v>18</v>
      </c>
      <c r="F606" t="s">
        <v>1139</v>
      </c>
      <c r="G606" t="s">
        <v>555</v>
      </c>
      <c r="H606" t="s">
        <v>100</v>
      </c>
      <c r="I606" t="s">
        <v>555</v>
      </c>
      <c r="J606" t="s">
        <v>50</v>
      </c>
      <c r="K606">
        <v>6.5</v>
      </c>
      <c r="L606">
        <v>3.3</v>
      </c>
      <c r="M606">
        <v>2</v>
      </c>
      <c r="N606">
        <v>4920</v>
      </c>
      <c r="O606">
        <v>3257</v>
      </c>
      <c r="P606">
        <v>2</v>
      </c>
      <c r="Q606">
        <v>62</v>
      </c>
      <c r="R606">
        <v>7</v>
      </c>
      <c r="S606">
        <v>2.39</v>
      </c>
      <c r="T606" t="s">
        <v>96</v>
      </c>
      <c r="U606">
        <v>27234</v>
      </c>
      <c r="V606">
        <v>1</v>
      </c>
      <c r="W606">
        <v>1</v>
      </c>
      <c r="X606">
        <v>2061</v>
      </c>
      <c r="Y606">
        <v>18.3</v>
      </c>
      <c r="Z606" t="s">
        <v>859</v>
      </c>
      <c r="AA606">
        <v>68</v>
      </c>
      <c r="AB606">
        <v>32</v>
      </c>
      <c r="AC606" t="s">
        <v>53</v>
      </c>
      <c r="AD606">
        <v>23419</v>
      </c>
      <c r="AE606">
        <v>3273</v>
      </c>
      <c r="AF606">
        <v>1257.07</v>
      </c>
      <c r="AG606">
        <v>10</v>
      </c>
      <c r="AH606">
        <v>612</v>
      </c>
      <c r="AI606">
        <v>27.2866</v>
      </c>
      <c r="AJ606">
        <v>27.35</v>
      </c>
      <c r="AK606">
        <v>13.88</v>
      </c>
      <c r="AL606">
        <v>3.81</v>
      </c>
      <c r="AM606">
        <v>1201</v>
      </c>
      <c r="AN606">
        <v>14.3</v>
      </c>
      <c r="AO606">
        <v>4</v>
      </c>
      <c r="AP606">
        <v>18.3</v>
      </c>
      <c r="AQ606">
        <v>1</v>
      </c>
    </row>
    <row r="607" spans="1:43" x14ac:dyDescent="0.3">
      <c r="A607">
        <v>606</v>
      </c>
      <c r="B607" t="s">
        <v>1646</v>
      </c>
      <c r="C607">
        <v>2024</v>
      </c>
      <c r="D607" t="s">
        <v>1617</v>
      </c>
      <c r="E607">
        <v>24</v>
      </c>
      <c r="F607" t="s">
        <v>1139</v>
      </c>
      <c r="G607" t="s">
        <v>239</v>
      </c>
      <c r="H607" t="s">
        <v>100</v>
      </c>
      <c r="I607" t="s">
        <v>1647</v>
      </c>
      <c r="J607" t="s">
        <v>50</v>
      </c>
      <c r="K607">
        <v>6.3</v>
      </c>
      <c r="L607">
        <v>2.2999999999999998</v>
      </c>
      <c r="M607">
        <v>6.4</v>
      </c>
      <c r="N607">
        <v>1988</v>
      </c>
      <c r="O607">
        <v>6540</v>
      </c>
      <c r="P607">
        <v>6.4</v>
      </c>
      <c r="Q607">
        <v>68</v>
      </c>
      <c r="R607">
        <v>12.5</v>
      </c>
      <c r="S607">
        <v>2.4700000000000002</v>
      </c>
      <c r="T607" t="s">
        <v>51</v>
      </c>
      <c r="U607">
        <v>9970</v>
      </c>
      <c r="V607">
        <v>9</v>
      </c>
      <c r="W607">
        <v>10</v>
      </c>
      <c r="X607">
        <v>563</v>
      </c>
      <c r="Y607">
        <v>18.600000000000001</v>
      </c>
      <c r="Z607" t="s">
        <v>185</v>
      </c>
      <c r="AA607">
        <v>54</v>
      </c>
      <c r="AB607">
        <v>46</v>
      </c>
      <c r="AC607" t="s">
        <v>53</v>
      </c>
      <c r="AD607">
        <v>7659</v>
      </c>
      <c r="AE607">
        <v>2435</v>
      </c>
      <c r="AF607">
        <v>1161.4000000000001</v>
      </c>
      <c r="AG607">
        <v>22</v>
      </c>
      <c r="AH607">
        <v>154</v>
      </c>
      <c r="AI607">
        <v>33.419431818181813</v>
      </c>
      <c r="AJ607">
        <v>25.98</v>
      </c>
      <c r="AK607">
        <v>28.31</v>
      </c>
      <c r="AL607">
        <v>8.91</v>
      </c>
      <c r="AM607">
        <v>1201</v>
      </c>
      <c r="AN607">
        <v>14.3</v>
      </c>
      <c r="AO607">
        <v>8.84</v>
      </c>
      <c r="AP607">
        <v>18.600000000000001</v>
      </c>
      <c r="AQ607">
        <v>9</v>
      </c>
    </row>
    <row r="608" spans="1:43" x14ac:dyDescent="0.3">
      <c r="A608">
        <v>607</v>
      </c>
      <c r="B608" t="s">
        <v>1648</v>
      </c>
      <c r="C608">
        <v>2024</v>
      </c>
      <c r="D608" t="s">
        <v>1617</v>
      </c>
      <c r="E608">
        <v>39</v>
      </c>
      <c r="F608" t="s">
        <v>1139</v>
      </c>
      <c r="G608" t="s">
        <v>239</v>
      </c>
      <c r="H608" t="s">
        <v>100</v>
      </c>
      <c r="I608" t="s">
        <v>1649</v>
      </c>
      <c r="J608" t="s">
        <v>50</v>
      </c>
      <c r="K608">
        <v>7.5</v>
      </c>
      <c r="L608">
        <v>4.5</v>
      </c>
      <c r="M608">
        <v>3.2</v>
      </c>
      <c r="N608">
        <v>2751</v>
      </c>
      <c r="O608">
        <v>2054</v>
      </c>
      <c r="P608">
        <v>3.2</v>
      </c>
      <c r="Q608">
        <v>43</v>
      </c>
      <c r="R608">
        <v>8.4</v>
      </c>
      <c r="S608">
        <v>3.31</v>
      </c>
      <c r="T608" t="s">
        <v>77</v>
      </c>
      <c r="U608">
        <v>8386</v>
      </c>
      <c r="V608">
        <v>6</v>
      </c>
      <c r="W608">
        <v>6</v>
      </c>
      <c r="X608">
        <v>462</v>
      </c>
      <c r="Y608">
        <v>15.7</v>
      </c>
      <c r="Z608" t="s">
        <v>146</v>
      </c>
      <c r="AA608">
        <v>54</v>
      </c>
      <c r="AB608">
        <v>46</v>
      </c>
      <c r="AC608" t="s">
        <v>53</v>
      </c>
      <c r="AD608">
        <v>5788</v>
      </c>
      <c r="AE608">
        <v>2842</v>
      </c>
      <c r="AF608">
        <v>1161.4000000000001</v>
      </c>
      <c r="AG608">
        <v>22</v>
      </c>
      <c r="AH608">
        <v>154</v>
      </c>
      <c r="AI608">
        <v>33.419431818181813</v>
      </c>
      <c r="AJ608">
        <v>25.98</v>
      </c>
      <c r="AK608">
        <v>28.31</v>
      </c>
      <c r="AL608">
        <v>8.91</v>
      </c>
      <c r="AM608">
        <v>1201</v>
      </c>
      <c r="AN608">
        <v>14.3</v>
      </c>
      <c r="AO608">
        <v>5.28</v>
      </c>
      <c r="AP608">
        <v>15.7</v>
      </c>
      <c r="AQ608">
        <v>6</v>
      </c>
    </row>
    <row r="609" spans="1:43" x14ac:dyDescent="0.3">
      <c r="A609">
        <v>608</v>
      </c>
      <c r="B609" t="s">
        <v>1650</v>
      </c>
      <c r="C609">
        <v>2024</v>
      </c>
      <c r="D609" t="s">
        <v>1617</v>
      </c>
      <c r="E609">
        <v>16</v>
      </c>
      <c r="F609" t="s">
        <v>1139</v>
      </c>
      <c r="G609" t="s">
        <v>239</v>
      </c>
      <c r="H609" t="s">
        <v>100</v>
      </c>
      <c r="I609" t="s">
        <v>1651</v>
      </c>
      <c r="J609" t="s">
        <v>50</v>
      </c>
      <c r="K609">
        <v>5.7</v>
      </c>
      <c r="L609">
        <v>3.2</v>
      </c>
      <c r="M609">
        <v>10.1</v>
      </c>
      <c r="N609">
        <v>1523</v>
      </c>
      <c r="O609">
        <v>898</v>
      </c>
      <c r="P609">
        <v>10.1</v>
      </c>
      <c r="Q609">
        <v>94</v>
      </c>
      <c r="R609">
        <v>930</v>
      </c>
      <c r="S609">
        <v>1.6035714285714291</v>
      </c>
      <c r="T609" t="s">
        <v>58</v>
      </c>
      <c r="U609">
        <v>8244</v>
      </c>
      <c r="V609">
        <v>8</v>
      </c>
      <c r="W609">
        <v>8</v>
      </c>
      <c r="X609">
        <v>560</v>
      </c>
      <c r="Y609">
        <v>16.2</v>
      </c>
      <c r="Z609" t="s">
        <v>272</v>
      </c>
      <c r="AA609">
        <v>32</v>
      </c>
      <c r="AB609">
        <v>68</v>
      </c>
      <c r="AC609" t="s">
        <v>53</v>
      </c>
      <c r="AD609">
        <v>4726</v>
      </c>
      <c r="AE609">
        <v>3692</v>
      </c>
      <c r="AF609">
        <v>1161.4000000000001</v>
      </c>
      <c r="AG609">
        <v>22</v>
      </c>
      <c r="AH609">
        <v>154</v>
      </c>
      <c r="AI609">
        <v>33.419431818181813</v>
      </c>
      <c r="AJ609">
        <v>25.98</v>
      </c>
      <c r="AK609">
        <v>28.31</v>
      </c>
      <c r="AL609">
        <v>8.91</v>
      </c>
      <c r="AM609">
        <v>1201</v>
      </c>
      <c r="AN609">
        <v>14.3</v>
      </c>
      <c r="AO609">
        <v>378.06</v>
      </c>
      <c r="AP609">
        <v>16.2</v>
      </c>
      <c r="AQ609">
        <v>8</v>
      </c>
    </row>
    <row r="610" spans="1:43" x14ac:dyDescent="0.3">
      <c r="A610">
        <v>609</v>
      </c>
      <c r="B610" t="s">
        <v>1652</v>
      </c>
      <c r="C610">
        <v>2024</v>
      </c>
      <c r="D610" t="s">
        <v>1617</v>
      </c>
      <c r="E610">
        <v>21</v>
      </c>
      <c r="F610" t="s">
        <v>1139</v>
      </c>
      <c r="G610" t="s">
        <v>1227</v>
      </c>
      <c r="H610" t="s">
        <v>48</v>
      </c>
      <c r="I610" t="s">
        <v>1227</v>
      </c>
      <c r="J610" t="s">
        <v>50</v>
      </c>
      <c r="K610">
        <v>5.7</v>
      </c>
      <c r="L610">
        <v>4.4000000000000004</v>
      </c>
      <c r="M610">
        <v>1.4</v>
      </c>
      <c r="N610">
        <v>2945</v>
      </c>
      <c r="O610">
        <v>10427</v>
      </c>
      <c r="P610">
        <v>1.4</v>
      </c>
      <c r="Q610">
        <v>101</v>
      </c>
      <c r="R610">
        <v>16.399999999999999</v>
      </c>
      <c r="S610">
        <v>3.05</v>
      </c>
      <c r="T610" t="s">
        <v>77</v>
      </c>
      <c r="U610">
        <v>17628</v>
      </c>
      <c r="V610">
        <v>1</v>
      </c>
      <c r="W610">
        <v>1</v>
      </c>
      <c r="X610">
        <v>966</v>
      </c>
      <c r="Y610">
        <v>15.2</v>
      </c>
      <c r="Z610" t="s">
        <v>408</v>
      </c>
      <c r="AA610">
        <v>35</v>
      </c>
      <c r="AB610">
        <v>65</v>
      </c>
      <c r="AC610" t="s">
        <v>53</v>
      </c>
      <c r="AD610">
        <v>13668</v>
      </c>
      <c r="AE610">
        <v>5486</v>
      </c>
      <c r="AF610">
        <v>1634.04</v>
      </c>
      <c r="AG610">
        <v>5</v>
      </c>
      <c r="AH610">
        <v>786</v>
      </c>
      <c r="AI610">
        <v>23.9251</v>
      </c>
      <c r="AJ610">
        <v>15.78</v>
      </c>
      <c r="AK610">
        <v>11.82</v>
      </c>
      <c r="AL610">
        <v>9.68</v>
      </c>
      <c r="AM610">
        <v>1201</v>
      </c>
      <c r="AN610">
        <v>14.3</v>
      </c>
      <c r="AO610">
        <v>7.4</v>
      </c>
      <c r="AP610">
        <v>15.2</v>
      </c>
      <c r="AQ610">
        <v>1</v>
      </c>
    </row>
    <row r="611" spans="1:43" x14ac:dyDescent="0.3">
      <c r="A611">
        <v>610</v>
      </c>
      <c r="B611" t="s">
        <v>1653</v>
      </c>
      <c r="C611">
        <v>2024</v>
      </c>
      <c r="D611" t="s">
        <v>1617</v>
      </c>
      <c r="E611">
        <v>44</v>
      </c>
      <c r="F611" t="s">
        <v>1139</v>
      </c>
      <c r="G611" t="s">
        <v>63</v>
      </c>
      <c r="H611" t="s">
        <v>1316</v>
      </c>
      <c r="I611" t="s">
        <v>63</v>
      </c>
      <c r="J611" t="s">
        <v>50</v>
      </c>
      <c r="K611">
        <v>2.9</v>
      </c>
      <c r="L611">
        <v>3.3</v>
      </c>
      <c r="M611">
        <v>3.1</v>
      </c>
      <c r="N611">
        <v>3362</v>
      </c>
      <c r="O611">
        <v>28541</v>
      </c>
      <c r="P611">
        <v>3.1</v>
      </c>
      <c r="Q611">
        <v>173</v>
      </c>
      <c r="R611">
        <v>35.200000000000003</v>
      </c>
      <c r="S611">
        <v>3.71</v>
      </c>
      <c r="T611" t="s">
        <v>51</v>
      </c>
      <c r="U611">
        <v>17973</v>
      </c>
      <c r="V611">
        <v>4</v>
      </c>
      <c r="W611">
        <v>6</v>
      </c>
      <c r="X611">
        <v>907</v>
      </c>
      <c r="Y611">
        <v>16.5</v>
      </c>
      <c r="Z611" t="s">
        <v>1519</v>
      </c>
      <c r="AA611">
        <v>71</v>
      </c>
      <c r="AB611">
        <v>29</v>
      </c>
      <c r="AC611" t="s">
        <v>53</v>
      </c>
      <c r="AD611">
        <v>12294</v>
      </c>
      <c r="AE611">
        <v>6099</v>
      </c>
      <c r="AF611">
        <v>755.8</v>
      </c>
      <c r="AG611">
        <v>98</v>
      </c>
      <c r="AH611">
        <v>2</v>
      </c>
      <c r="AI611">
        <v>56.843244897959181</v>
      </c>
      <c r="AJ611">
        <v>42.15</v>
      </c>
      <c r="AK611">
        <v>43.47</v>
      </c>
      <c r="AL611">
        <v>9.93</v>
      </c>
      <c r="AM611">
        <v>1201</v>
      </c>
      <c r="AN611">
        <v>14.3</v>
      </c>
      <c r="AO611">
        <v>15.94</v>
      </c>
      <c r="AP611">
        <v>16.5</v>
      </c>
      <c r="AQ611">
        <v>4</v>
      </c>
    </row>
    <row r="612" spans="1:43" x14ac:dyDescent="0.3">
      <c r="A612">
        <v>611</v>
      </c>
      <c r="B612" t="s">
        <v>1654</v>
      </c>
      <c r="C612">
        <v>2024</v>
      </c>
      <c r="D612" t="s">
        <v>1617</v>
      </c>
      <c r="E612">
        <v>11</v>
      </c>
      <c r="F612" t="s">
        <v>1139</v>
      </c>
      <c r="G612" t="s">
        <v>1142</v>
      </c>
      <c r="H612" t="s">
        <v>48</v>
      </c>
      <c r="I612" t="s">
        <v>1142</v>
      </c>
      <c r="J612" t="s">
        <v>50</v>
      </c>
      <c r="K612">
        <v>4.5</v>
      </c>
      <c r="L612">
        <v>3.9</v>
      </c>
      <c r="M612">
        <v>6.6</v>
      </c>
      <c r="N612">
        <v>2564</v>
      </c>
      <c r="O612">
        <v>3164</v>
      </c>
      <c r="P612">
        <v>6.6</v>
      </c>
      <c r="Q612">
        <v>51</v>
      </c>
      <c r="R612">
        <v>6.6</v>
      </c>
      <c r="S612">
        <v>4.93</v>
      </c>
      <c r="T612" t="s">
        <v>71</v>
      </c>
      <c r="U612">
        <v>10997</v>
      </c>
      <c r="V612">
        <v>7</v>
      </c>
      <c r="W612">
        <v>8</v>
      </c>
      <c r="X612">
        <v>520</v>
      </c>
      <c r="Y612">
        <v>34.4</v>
      </c>
      <c r="Z612" t="s">
        <v>1336</v>
      </c>
      <c r="AA612">
        <v>42.460942969999998</v>
      </c>
      <c r="AB612">
        <v>57.539057030000002</v>
      </c>
      <c r="AC612" t="s">
        <v>53</v>
      </c>
      <c r="AD612">
        <v>5097</v>
      </c>
      <c r="AE612">
        <v>2621</v>
      </c>
      <c r="AF612">
        <v>900.23</v>
      </c>
      <c r="AG612">
        <v>8</v>
      </c>
      <c r="AH612">
        <v>779</v>
      </c>
      <c r="AI612">
        <v>28.816500000000001</v>
      </c>
      <c r="AJ612">
        <v>17.100000000000001</v>
      </c>
      <c r="AK612">
        <v>12.25</v>
      </c>
      <c r="AL612">
        <v>17.649999999999999</v>
      </c>
      <c r="AM612">
        <v>1201</v>
      </c>
      <c r="AN612">
        <v>14.3</v>
      </c>
      <c r="AO612">
        <v>6.6</v>
      </c>
      <c r="AP612">
        <v>34.4</v>
      </c>
      <c r="AQ612">
        <v>7</v>
      </c>
    </row>
    <row r="613" spans="1:43" x14ac:dyDescent="0.3">
      <c r="A613">
        <v>612</v>
      </c>
      <c r="B613" t="s">
        <v>1655</v>
      </c>
      <c r="C613">
        <v>2024</v>
      </c>
      <c r="D613" t="s">
        <v>1617</v>
      </c>
      <c r="E613">
        <v>103</v>
      </c>
      <c r="F613" t="s">
        <v>1139</v>
      </c>
      <c r="G613" t="s">
        <v>590</v>
      </c>
      <c r="H613" t="s">
        <v>100</v>
      </c>
      <c r="I613" t="s">
        <v>1656</v>
      </c>
      <c r="J613" t="s">
        <v>50</v>
      </c>
      <c r="K613">
        <v>4</v>
      </c>
      <c r="L613">
        <v>1.9</v>
      </c>
      <c r="M613">
        <v>12.2</v>
      </c>
      <c r="N613">
        <v>4199</v>
      </c>
      <c r="O613">
        <v>30631</v>
      </c>
      <c r="P613">
        <v>12.2</v>
      </c>
      <c r="Q613">
        <v>171</v>
      </c>
      <c r="R613">
        <v>19.2</v>
      </c>
      <c r="S613">
        <v>5.45</v>
      </c>
      <c r="T613" t="s">
        <v>51</v>
      </c>
      <c r="U613">
        <v>8187</v>
      </c>
      <c r="V613">
        <v>1</v>
      </c>
      <c r="W613">
        <v>0</v>
      </c>
      <c r="X613">
        <v>322</v>
      </c>
      <c r="Y613">
        <v>21.5</v>
      </c>
      <c r="Z613" t="s">
        <v>102</v>
      </c>
      <c r="AA613">
        <v>46</v>
      </c>
      <c r="AB613">
        <v>54</v>
      </c>
      <c r="AC613" t="s">
        <v>53</v>
      </c>
      <c r="AD613">
        <v>6851</v>
      </c>
      <c r="AE613">
        <v>2527</v>
      </c>
      <c r="AF613">
        <v>1100.42</v>
      </c>
      <c r="AG613">
        <v>16</v>
      </c>
      <c r="AH613">
        <v>218</v>
      </c>
      <c r="AI613">
        <v>38.128875000000001</v>
      </c>
      <c r="AJ613">
        <v>27.22</v>
      </c>
      <c r="AK613">
        <v>36.06</v>
      </c>
      <c r="AL613">
        <v>6.8</v>
      </c>
      <c r="AM613">
        <v>1201</v>
      </c>
      <c r="AN613">
        <v>14.3</v>
      </c>
      <c r="AO613">
        <v>15</v>
      </c>
      <c r="AP613">
        <v>21.5</v>
      </c>
      <c r="AQ613">
        <v>1</v>
      </c>
    </row>
    <row r="614" spans="1:43" x14ac:dyDescent="0.3">
      <c r="A614">
        <v>613</v>
      </c>
      <c r="B614" t="s">
        <v>1657</v>
      </c>
      <c r="C614">
        <v>2024</v>
      </c>
      <c r="D614" t="s">
        <v>1617</v>
      </c>
      <c r="E614">
        <v>187</v>
      </c>
      <c r="F614" t="s">
        <v>1139</v>
      </c>
      <c r="G614" t="s">
        <v>63</v>
      </c>
      <c r="H614" t="s">
        <v>64</v>
      </c>
      <c r="I614" t="s">
        <v>1658</v>
      </c>
      <c r="J614" t="s">
        <v>50</v>
      </c>
      <c r="K614">
        <v>4.3</v>
      </c>
      <c r="L614">
        <v>2.1</v>
      </c>
      <c r="M614">
        <v>10.5</v>
      </c>
      <c r="N614">
        <v>4099</v>
      </c>
      <c r="O614">
        <v>673</v>
      </c>
      <c r="P614">
        <v>10.5</v>
      </c>
      <c r="Q614">
        <v>119</v>
      </c>
      <c r="R614">
        <v>934</v>
      </c>
      <c r="S614">
        <v>0.61686526122823093</v>
      </c>
      <c r="T614" t="s">
        <v>96</v>
      </c>
      <c r="U614">
        <v>18763</v>
      </c>
      <c r="V614">
        <v>5</v>
      </c>
      <c r="W614">
        <v>6</v>
      </c>
      <c r="X614">
        <v>1091</v>
      </c>
      <c r="Y614">
        <v>20.5</v>
      </c>
      <c r="Z614" t="s">
        <v>110</v>
      </c>
      <c r="AA614">
        <v>57</v>
      </c>
      <c r="AB614">
        <v>43</v>
      </c>
      <c r="AC614" t="s">
        <v>53</v>
      </c>
      <c r="AD614">
        <v>12162</v>
      </c>
      <c r="AE614">
        <v>4785</v>
      </c>
      <c r="AF614">
        <v>647.61</v>
      </c>
      <c r="AG614">
        <v>98</v>
      </c>
      <c r="AH614">
        <v>2</v>
      </c>
      <c r="AI614">
        <v>56.843244897959181</v>
      </c>
      <c r="AJ614">
        <v>29.74</v>
      </c>
      <c r="AK614">
        <v>38.11</v>
      </c>
      <c r="AL614">
        <v>19.260000000000002</v>
      </c>
      <c r="AM614">
        <v>1201</v>
      </c>
      <c r="AN614">
        <v>14.3</v>
      </c>
      <c r="AO614">
        <v>379.9</v>
      </c>
      <c r="AP614">
        <v>20.5</v>
      </c>
      <c r="AQ614">
        <v>5</v>
      </c>
    </row>
    <row r="615" spans="1:43" x14ac:dyDescent="0.3">
      <c r="A615">
        <v>614</v>
      </c>
      <c r="B615" t="s">
        <v>1659</v>
      </c>
      <c r="C615">
        <v>2024</v>
      </c>
      <c r="D615" t="s">
        <v>1617</v>
      </c>
      <c r="E615">
        <v>72</v>
      </c>
      <c r="F615" t="s">
        <v>1139</v>
      </c>
      <c r="G615" t="s">
        <v>131</v>
      </c>
      <c r="H615" t="s">
        <v>100</v>
      </c>
      <c r="I615" t="s">
        <v>132</v>
      </c>
      <c r="J615" t="s">
        <v>65</v>
      </c>
      <c r="K615">
        <v>4.0999999999999996</v>
      </c>
      <c r="L615">
        <v>12</v>
      </c>
      <c r="M615">
        <v>2.6</v>
      </c>
      <c r="N615">
        <v>16773</v>
      </c>
      <c r="O615">
        <v>7210</v>
      </c>
      <c r="P615">
        <v>2.6</v>
      </c>
      <c r="Q615">
        <v>85</v>
      </c>
      <c r="R615">
        <v>4.2</v>
      </c>
      <c r="S615">
        <v>5.65</v>
      </c>
      <c r="T615" t="s">
        <v>51</v>
      </c>
      <c r="U615">
        <v>19783</v>
      </c>
      <c r="V615">
        <v>4</v>
      </c>
      <c r="W615">
        <v>5</v>
      </c>
      <c r="X615">
        <v>1236</v>
      </c>
      <c r="Y615">
        <v>14.4</v>
      </c>
      <c r="Z615" t="s">
        <v>116</v>
      </c>
      <c r="AA615">
        <v>56</v>
      </c>
      <c r="AB615">
        <v>44</v>
      </c>
      <c r="AC615" t="s">
        <v>53</v>
      </c>
      <c r="AD615">
        <v>12567</v>
      </c>
      <c r="AE615">
        <v>7077</v>
      </c>
      <c r="AF615">
        <v>1349.57</v>
      </c>
      <c r="AG615">
        <v>37</v>
      </c>
      <c r="AH615">
        <v>29</v>
      </c>
      <c r="AI615">
        <v>35.237824324324329</v>
      </c>
      <c r="AJ615">
        <v>25.61</v>
      </c>
      <c r="AK615">
        <v>22.27</v>
      </c>
      <c r="AL615">
        <v>5.48</v>
      </c>
      <c r="AM615">
        <v>1201</v>
      </c>
      <c r="AN615">
        <v>14.3</v>
      </c>
      <c r="AO615">
        <v>3.24</v>
      </c>
      <c r="AP615">
        <v>14.4</v>
      </c>
      <c r="AQ615">
        <v>4</v>
      </c>
    </row>
    <row r="616" spans="1:43" x14ac:dyDescent="0.3">
      <c r="A616">
        <v>615</v>
      </c>
      <c r="B616" t="s">
        <v>1660</v>
      </c>
      <c r="C616">
        <v>2024</v>
      </c>
      <c r="D616" t="s">
        <v>1617</v>
      </c>
      <c r="E616">
        <v>82</v>
      </c>
      <c r="F616" t="s">
        <v>1139</v>
      </c>
      <c r="G616" t="s">
        <v>131</v>
      </c>
      <c r="H616" t="s">
        <v>100</v>
      </c>
      <c r="I616" t="s">
        <v>1661</v>
      </c>
      <c r="J616" t="s">
        <v>50</v>
      </c>
      <c r="K616">
        <v>4.5</v>
      </c>
      <c r="L616">
        <v>1.8</v>
      </c>
      <c r="M616">
        <v>9.1999999999999993</v>
      </c>
      <c r="N616">
        <v>2273</v>
      </c>
      <c r="O616">
        <v>7395</v>
      </c>
      <c r="P616">
        <v>9.1999999999999993</v>
      </c>
      <c r="Q616">
        <v>82</v>
      </c>
      <c r="R616">
        <v>28</v>
      </c>
      <c r="S616">
        <v>2.91</v>
      </c>
      <c r="T616" t="s">
        <v>77</v>
      </c>
      <c r="U616">
        <v>8321</v>
      </c>
      <c r="V616">
        <v>6</v>
      </c>
      <c r="W616">
        <v>6</v>
      </c>
      <c r="X616">
        <v>620</v>
      </c>
      <c r="Y616">
        <v>15.3</v>
      </c>
      <c r="Z616" t="s">
        <v>272</v>
      </c>
      <c r="AA616">
        <v>32</v>
      </c>
      <c r="AB616">
        <v>68</v>
      </c>
      <c r="AC616" t="s">
        <v>53</v>
      </c>
      <c r="AD616">
        <v>6516</v>
      </c>
      <c r="AE616">
        <v>1825</v>
      </c>
      <c r="AF616">
        <v>1349.57</v>
      </c>
      <c r="AG616">
        <v>37</v>
      </c>
      <c r="AH616">
        <v>29</v>
      </c>
      <c r="AI616">
        <v>35.237824324324329</v>
      </c>
      <c r="AJ616">
        <v>25.61</v>
      </c>
      <c r="AK616">
        <v>22.27</v>
      </c>
      <c r="AL616">
        <v>5.48</v>
      </c>
      <c r="AM616">
        <v>1201</v>
      </c>
      <c r="AN616">
        <v>14.3</v>
      </c>
      <c r="AO616">
        <v>16.72</v>
      </c>
      <c r="AP616">
        <v>15.3</v>
      </c>
      <c r="AQ616">
        <v>6</v>
      </c>
    </row>
    <row r="617" spans="1:43" x14ac:dyDescent="0.3">
      <c r="A617">
        <v>616</v>
      </c>
      <c r="B617" t="s">
        <v>1662</v>
      </c>
      <c r="C617">
        <v>2024</v>
      </c>
      <c r="D617" t="s">
        <v>1617</v>
      </c>
      <c r="E617">
        <v>85</v>
      </c>
      <c r="F617" t="s">
        <v>1139</v>
      </c>
      <c r="G617" t="s">
        <v>131</v>
      </c>
      <c r="H617" t="s">
        <v>100</v>
      </c>
      <c r="I617" t="s">
        <v>1663</v>
      </c>
      <c r="J617" t="s">
        <v>65</v>
      </c>
      <c r="K617">
        <v>3.7</v>
      </c>
      <c r="L617">
        <v>2.2999999999999998</v>
      </c>
      <c r="M617">
        <v>4.8</v>
      </c>
      <c r="N617">
        <v>2511</v>
      </c>
      <c r="O617">
        <v>15016</v>
      </c>
      <c r="P617">
        <v>4.8</v>
      </c>
      <c r="Q617">
        <v>122</v>
      </c>
      <c r="R617">
        <v>24.8</v>
      </c>
      <c r="S617">
        <v>2.95</v>
      </c>
      <c r="T617" t="s">
        <v>96</v>
      </c>
      <c r="U617">
        <v>9001</v>
      </c>
      <c r="V617">
        <v>5</v>
      </c>
      <c r="W617">
        <v>5</v>
      </c>
      <c r="X617">
        <v>308</v>
      </c>
      <c r="Y617">
        <v>29.7</v>
      </c>
      <c r="Z617" t="s">
        <v>1480</v>
      </c>
      <c r="AA617">
        <v>60.877026180000001</v>
      </c>
      <c r="AB617">
        <v>39.122973819999999</v>
      </c>
      <c r="AC617" t="s">
        <v>53</v>
      </c>
      <c r="AD617">
        <v>6635</v>
      </c>
      <c r="AE617">
        <v>2840</v>
      </c>
      <c r="AF617">
        <v>1349.57</v>
      </c>
      <c r="AG617">
        <v>37</v>
      </c>
      <c r="AH617">
        <v>29</v>
      </c>
      <c r="AI617">
        <v>35.237824324324329</v>
      </c>
      <c r="AJ617">
        <v>25.61</v>
      </c>
      <c r="AK617">
        <v>22.27</v>
      </c>
      <c r="AL617">
        <v>5.48</v>
      </c>
      <c r="AM617">
        <v>1201</v>
      </c>
      <c r="AN617">
        <v>14.3</v>
      </c>
      <c r="AO617">
        <v>12.8</v>
      </c>
      <c r="AP617">
        <v>29.7</v>
      </c>
      <c r="AQ617">
        <v>5</v>
      </c>
    </row>
    <row r="618" spans="1:43" x14ac:dyDescent="0.3">
      <c r="A618">
        <v>617</v>
      </c>
      <c r="B618" t="s">
        <v>1664</v>
      </c>
      <c r="C618">
        <v>2024</v>
      </c>
      <c r="D618" t="s">
        <v>1617</v>
      </c>
      <c r="E618">
        <v>19</v>
      </c>
      <c r="F618" t="s">
        <v>1139</v>
      </c>
      <c r="G618" t="s">
        <v>555</v>
      </c>
      <c r="H618" t="s">
        <v>100</v>
      </c>
      <c r="I618" t="s">
        <v>556</v>
      </c>
      <c r="J618" t="s">
        <v>50</v>
      </c>
      <c r="K618">
        <v>6.2</v>
      </c>
      <c r="L618">
        <v>6.7</v>
      </c>
      <c r="M618">
        <v>2.7</v>
      </c>
      <c r="N618">
        <v>4329</v>
      </c>
      <c r="O618">
        <v>4751</v>
      </c>
      <c r="P618">
        <v>2.7</v>
      </c>
      <c r="Q618">
        <v>72</v>
      </c>
      <c r="R618">
        <v>7.4</v>
      </c>
      <c r="S618">
        <v>2.5</v>
      </c>
      <c r="T618" t="s">
        <v>77</v>
      </c>
      <c r="U618">
        <v>22163</v>
      </c>
      <c r="V618">
        <v>2</v>
      </c>
      <c r="W618">
        <v>2</v>
      </c>
      <c r="X618">
        <v>1732</v>
      </c>
      <c r="Y618">
        <v>18.8</v>
      </c>
      <c r="Z618" t="s">
        <v>1308</v>
      </c>
      <c r="AA618">
        <v>68</v>
      </c>
      <c r="AB618">
        <v>32</v>
      </c>
      <c r="AC618" t="s">
        <v>53</v>
      </c>
      <c r="AD618">
        <v>16657</v>
      </c>
      <c r="AE618">
        <v>13016</v>
      </c>
      <c r="AF618">
        <v>1257.07</v>
      </c>
      <c r="AG618">
        <v>10</v>
      </c>
      <c r="AH618">
        <v>612</v>
      </c>
      <c r="AI618">
        <v>27.2866</v>
      </c>
      <c r="AJ618">
        <v>27.35</v>
      </c>
      <c r="AK618">
        <v>13.88</v>
      </c>
      <c r="AL618">
        <v>3.81</v>
      </c>
      <c r="AM618">
        <v>1201</v>
      </c>
      <c r="AN618">
        <v>14.3</v>
      </c>
      <c r="AO618">
        <v>4.58</v>
      </c>
      <c r="AP618">
        <v>18.8</v>
      </c>
      <c r="AQ618">
        <v>2</v>
      </c>
    </row>
    <row r="619" spans="1:43" x14ac:dyDescent="0.3">
      <c r="A619">
        <v>618</v>
      </c>
      <c r="B619" t="s">
        <v>1665</v>
      </c>
      <c r="C619">
        <v>2024</v>
      </c>
      <c r="D619" t="s">
        <v>1617</v>
      </c>
      <c r="E619">
        <v>1</v>
      </c>
      <c r="F619" t="s">
        <v>1139</v>
      </c>
      <c r="G619" t="s">
        <v>161</v>
      </c>
      <c r="H619" t="s">
        <v>100</v>
      </c>
      <c r="I619" t="s">
        <v>162</v>
      </c>
      <c r="J619" t="s">
        <v>1057</v>
      </c>
      <c r="K619">
        <v>5</v>
      </c>
      <c r="L619">
        <v>6.5</v>
      </c>
      <c r="M619">
        <v>4.3</v>
      </c>
      <c r="N619">
        <v>2854</v>
      </c>
      <c r="O619">
        <v>9139</v>
      </c>
      <c r="P619">
        <v>4.3</v>
      </c>
      <c r="Q619">
        <v>95</v>
      </c>
      <c r="R619">
        <v>6.3</v>
      </c>
      <c r="S619">
        <v>1.49</v>
      </c>
      <c r="T619" t="s">
        <v>71</v>
      </c>
      <c r="U619">
        <v>15808</v>
      </c>
      <c r="V619">
        <v>12</v>
      </c>
      <c r="W619">
        <v>18.081143600000001</v>
      </c>
      <c r="X619">
        <v>1912</v>
      </c>
      <c r="Y619">
        <v>18.600000000000001</v>
      </c>
      <c r="Z619" t="s">
        <v>52</v>
      </c>
      <c r="AA619">
        <v>52.511297290000002</v>
      </c>
      <c r="AB619">
        <v>47.488702709999998</v>
      </c>
      <c r="AC619" t="s">
        <v>53</v>
      </c>
      <c r="AD619">
        <v>13919</v>
      </c>
      <c r="AE619">
        <v>7847</v>
      </c>
      <c r="AF619">
        <v>682.03</v>
      </c>
      <c r="AG619">
        <v>18</v>
      </c>
      <c r="AH619">
        <v>62</v>
      </c>
      <c r="AI619">
        <v>43.175027777777778</v>
      </c>
      <c r="AJ619">
        <v>22.69</v>
      </c>
      <c r="AK619">
        <v>33</v>
      </c>
      <c r="AL619">
        <v>15.2</v>
      </c>
      <c r="AM619">
        <v>1201</v>
      </c>
      <c r="AN619">
        <v>14.3</v>
      </c>
      <c r="AO619">
        <v>5.0999999999999996</v>
      </c>
      <c r="AP619">
        <v>18.600000000000001</v>
      </c>
      <c r="AQ619">
        <v>12</v>
      </c>
    </row>
    <row r="620" spans="1:43" x14ac:dyDescent="0.3">
      <c r="A620">
        <v>619</v>
      </c>
      <c r="B620" t="s">
        <v>1666</v>
      </c>
      <c r="C620">
        <v>2024</v>
      </c>
      <c r="D620" t="s">
        <v>1617</v>
      </c>
      <c r="E620">
        <v>23</v>
      </c>
      <c r="F620" t="s">
        <v>1139</v>
      </c>
      <c r="G620" t="s">
        <v>870</v>
      </c>
      <c r="H620" t="s">
        <v>493</v>
      </c>
      <c r="I620" t="s">
        <v>1667</v>
      </c>
      <c r="J620" t="s">
        <v>50</v>
      </c>
      <c r="K620">
        <v>3.9</v>
      </c>
      <c r="L620">
        <v>2.6</v>
      </c>
      <c r="M620">
        <v>2.2000000000000002</v>
      </c>
      <c r="N620">
        <v>45187</v>
      </c>
      <c r="O620">
        <v>32867</v>
      </c>
      <c r="P620">
        <v>2.2000000000000002</v>
      </c>
      <c r="Q620">
        <v>202</v>
      </c>
      <c r="R620">
        <v>5.2</v>
      </c>
      <c r="S620">
        <v>4.3600000000000003</v>
      </c>
      <c r="T620" t="s">
        <v>71</v>
      </c>
      <c r="U620">
        <v>45981</v>
      </c>
      <c r="V620">
        <v>1</v>
      </c>
      <c r="W620">
        <v>2</v>
      </c>
      <c r="X620">
        <v>3365</v>
      </c>
      <c r="Y620">
        <v>13.1</v>
      </c>
      <c r="Z620" t="s">
        <v>185</v>
      </c>
      <c r="AA620">
        <v>45</v>
      </c>
      <c r="AB620">
        <v>55</v>
      </c>
      <c r="AC620" t="s">
        <v>53</v>
      </c>
      <c r="AD620">
        <v>38429</v>
      </c>
      <c r="AE620">
        <v>13412</v>
      </c>
      <c r="AF620">
        <v>1164.33</v>
      </c>
      <c r="AG620">
        <v>7</v>
      </c>
      <c r="AH620">
        <v>818</v>
      </c>
      <c r="AI620">
        <v>31.523785714285712</v>
      </c>
      <c r="AJ620">
        <v>25.16</v>
      </c>
      <c r="AK620">
        <v>18.14</v>
      </c>
      <c r="AL620">
        <v>5.76</v>
      </c>
      <c r="AM620">
        <v>1201</v>
      </c>
      <c r="AN620">
        <v>14.3</v>
      </c>
      <c r="AO620">
        <v>3.4</v>
      </c>
      <c r="AP620">
        <v>13.1</v>
      </c>
      <c r="AQ620">
        <v>1</v>
      </c>
    </row>
    <row r="621" spans="1:43" x14ac:dyDescent="0.3">
      <c r="A621">
        <v>620</v>
      </c>
      <c r="B621" t="s">
        <v>1668</v>
      </c>
      <c r="C621">
        <v>2024</v>
      </c>
      <c r="D621" t="s">
        <v>1617</v>
      </c>
      <c r="E621">
        <v>24</v>
      </c>
      <c r="F621" t="s">
        <v>1139</v>
      </c>
      <c r="G621" t="s">
        <v>239</v>
      </c>
      <c r="H621" t="s">
        <v>100</v>
      </c>
      <c r="I621" t="s">
        <v>1632</v>
      </c>
      <c r="J621" t="s">
        <v>65</v>
      </c>
      <c r="K621">
        <v>5.7</v>
      </c>
      <c r="L621">
        <v>5.5</v>
      </c>
      <c r="M621">
        <v>5.6</v>
      </c>
      <c r="N621">
        <v>4804</v>
      </c>
      <c r="O621">
        <v>14683</v>
      </c>
      <c r="P621">
        <v>5.6</v>
      </c>
      <c r="Q621">
        <v>123</v>
      </c>
      <c r="R621">
        <v>9.4</v>
      </c>
      <c r="S621">
        <v>3.4</v>
      </c>
      <c r="T621" t="s">
        <v>58</v>
      </c>
      <c r="U621">
        <v>23600</v>
      </c>
      <c r="V621">
        <v>7</v>
      </c>
      <c r="W621">
        <v>7</v>
      </c>
      <c r="X621">
        <v>888</v>
      </c>
      <c r="Y621">
        <v>22.5</v>
      </c>
      <c r="Z621" t="s">
        <v>72</v>
      </c>
      <c r="AA621">
        <v>46</v>
      </c>
      <c r="AB621">
        <v>54</v>
      </c>
      <c r="AC621" t="s">
        <v>53</v>
      </c>
      <c r="AD621">
        <v>14443</v>
      </c>
      <c r="AE621">
        <v>7512</v>
      </c>
      <c r="AF621">
        <v>1161.4000000000001</v>
      </c>
      <c r="AG621">
        <v>22</v>
      </c>
      <c r="AH621">
        <v>154</v>
      </c>
      <c r="AI621">
        <v>33.419431818181813</v>
      </c>
      <c r="AJ621">
        <v>25.98</v>
      </c>
      <c r="AK621">
        <v>28.31</v>
      </c>
      <c r="AL621">
        <v>8.91</v>
      </c>
      <c r="AM621">
        <v>1201</v>
      </c>
      <c r="AN621">
        <v>14.3</v>
      </c>
      <c r="AO621">
        <v>7.12</v>
      </c>
      <c r="AP621">
        <v>22.5</v>
      </c>
      <c r="AQ621">
        <v>7</v>
      </c>
    </row>
    <row r="622" spans="1:43" x14ac:dyDescent="0.3">
      <c r="A622">
        <v>621</v>
      </c>
      <c r="B622" t="s">
        <v>1669</v>
      </c>
      <c r="C622">
        <v>2024</v>
      </c>
      <c r="D622" t="s">
        <v>1617</v>
      </c>
      <c r="E622">
        <v>8</v>
      </c>
      <c r="F622" t="s">
        <v>1139</v>
      </c>
      <c r="G622" t="s">
        <v>1405</v>
      </c>
      <c r="H622" t="s">
        <v>48</v>
      </c>
      <c r="I622" t="s">
        <v>1670</v>
      </c>
      <c r="J622" t="s">
        <v>50</v>
      </c>
      <c r="K622">
        <v>5</v>
      </c>
      <c r="L622">
        <v>4.8</v>
      </c>
      <c r="M622">
        <v>3.7</v>
      </c>
      <c r="N622">
        <v>5447</v>
      </c>
      <c r="O622">
        <v>11704</v>
      </c>
      <c r="P622">
        <v>3.7</v>
      </c>
      <c r="Q622">
        <v>124</v>
      </c>
      <c r="R622">
        <v>7</v>
      </c>
      <c r="S622">
        <v>4.1100000000000003</v>
      </c>
      <c r="T622" t="s">
        <v>77</v>
      </c>
      <c r="U622">
        <v>19065</v>
      </c>
      <c r="V622">
        <v>2</v>
      </c>
      <c r="W622">
        <v>3</v>
      </c>
      <c r="X622">
        <v>1032</v>
      </c>
      <c r="Y622">
        <v>20.5</v>
      </c>
      <c r="Z622" t="s">
        <v>152</v>
      </c>
      <c r="AA622">
        <v>38</v>
      </c>
      <c r="AB622">
        <v>62</v>
      </c>
      <c r="AC622" t="s">
        <v>53</v>
      </c>
      <c r="AD622">
        <v>14837</v>
      </c>
      <c r="AE622">
        <v>3649</v>
      </c>
      <c r="AF622">
        <v>1450.67</v>
      </c>
      <c r="AG622">
        <v>6</v>
      </c>
      <c r="AH622">
        <v>1139</v>
      </c>
      <c r="AI622">
        <v>23.058583333333331</v>
      </c>
      <c r="AJ622">
        <v>20.260000000000002</v>
      </c>
      <c r="AK622">
        <v>20.5</v>
      </c>
      <c r="AL622">
        <v>13.13</v>
      </c>
      <c r="AM622">
        <v>1201</v>
      </c>
      <c r="AN622">
        <v>14.3</v>
      </c>
      <c r="AO622">
        <v>5.0199999999999996</v>
      </c>
      <c r="AP622">
        <v>20.5</v>
      </c>
      <c r="AQ622">
        <v>2</v>
      </c>
    </row>
    <row r="623" spans="1:43" x14ac:dyDescent="0.3">
      <c r="A623">
        <v>622</v>
      </c>
      <c r="B623" t="s">
        <v>1671</v>
      </c>
      <c r="C623">
        <v>2024</v>
      </c>
      <c r="D623" t="s">
        <v>1617</v>
      </c>
      <c r="E623">
        <v>14</v>
      </c>
      <c r="F623" t="s">
        <v>1139</v>
      </c>
      <c r="G623" t="s">
        <v>1515</v>
      </c>
      <c r="H623" t="s">
        <v>100</v>
      </c>
      <c r="I623" t="s">
        <v>1672</v>
      </c>
      <c r="J623" t="s">
        <v>50</v>
      </c>
      <c r="K623">
        <v>8</v>
      </c>
      <c r="L623">
        <v>13</v>
      </c>
      <c r="M623">
        <v>3.4</v>
      </c>
      <c r="N623">
        <v>8332</v>
      </c>
      <c r="O623">
        <v>20827</v>
      </c>
      <c r="P623">
        <v>3.4</v>
      </c>
      <c r="Q623">
        <v>155</v>
      </c>
      <c r="R623">
        <v>11.7</v>
      </c>
      <c r="S623">
        <v>3.06</v>
      </c>
      <c r="T623" t="s">
        <v>58</v>
      </c>
      <c r="U623">
        <v>17665</v>
      </c>
      <c r="V623">
        <v>7</v>
      </c>
      <c r="W623">
        <v>13</v>
      </c>
      <c r="X623">
        <v>834</v>
      </c>
      <c r="Y623">
        <v>23</v>
      </c>
      <c r="Z623" t="s">
        <v>521</v>
      </c>
      <c r="AA623">
        <v>64</v>
      </c>
      <c r="AB623">
        <v>36</v>
      </c>
      <c r="AC623" t="s">
        <v>53</v>
      </c>
      <c r="AD623">
        <v>13570</v>
      </c>
      <c r="AE623">
        <v>7481</v>
      </c>
      <c r="AF623">
        <v>943.43</v>
      </c>
      <c r="AG623">
        <v>5</v>
      </c>
      <c r="AH623">
        <v>1156</v>
      </c>
      <c r="AI623">
        <v>26.731999999999999</v>
      </c>
      <c r="AJ623">
        <v>22.8</v>
      </c>
      <c r="AK623">
        <v>17.82</v>
      </c>
      <c r="AL623">
        <v>20.04</v>
      </c>
      <c r="AM623">
        <v>1201</v>
      </c>
      <c r="AN623">
        <v>14.3</v>
      </c>
      <c r="AO623">
        <v>6.72</v>
      </c>
      <c r="AP623">
        <v>23</v>
      </c>
      <c r="AQ623">
        <v>7</v>
      </c>
    </row>
    <row r="624" spans="1:43" x14ac:dyDescent="0.3">
      <c r="A624">
        <v>623</v>
      </c>
      <c r="B624" t="s">
        <v>1673</v>
      </c>
      <c r="C624">
        <v>2024</v>
      </c>
      <c r="D624" t="s">
        <v>1617</v>
      </c>
      <c r="E624">
        <v>24</v>
      </c>
      <c r="F624" t="s">
        <v>1139</v>
      </c>
      <c r="G624" t="s">
        <v>239</v>
      </c>
      <c r="H624" t="s">
        <v>100</v>
      </c>
      <c r="I624" t="s">
        <v>1204</v>
      </c>
      <c r="J624" t="s">
        <v>65</v>
      </c>
      <c r="K624">
        <v>6.2</v>
      </c>
      <c r="L624">
        <v>6.1</v>
      </c>
      <c r="M624">
        <v>4.5</v>
      </c>
      <c r="N624">
        <v>2371</v>
      </c>
      <c r="O624">
        <v>8598</v>
      </c>
      <c r="P624">
        <v>4.5</v>
      </c>
      <c r="Q624">
        <v>92</v>
      </c>
      <c r="R624">
        <v>11.6</v>
      </c>
      <c r="S624">
        <v>2.73</v>
      </c>
      <c r="T624" t="s">
        <v>58</v>
      </c>
      <c r="U624">
        <v>15201</v>
      </c>
      <c r="V624">
        <v>10</v>
      </c>
      <c r="W624">
        <v>9</v>
      </c>
      <c r="X624">
        <v>748</v>
      </c>
      <c r="Y624">
        <v>20.399999999999999</v>
      </c>
      <c r="Z624" t="s">
        <v>146</v>
      </c>
      <c r="AA624">
        <v>55</v>
      </c>
      <c r="AB624">
        <v>45</v>
      </c>
      <c r="AC624" t="s">
        <v>53</v>
      </c>
      <c r="AD624">
        <v>8914</v>
      </c>
      <c r="AE624">
        <v>5972</v>
      </c>
      <c r="AF624">
        <v>1161.4000000000001</v>
      </c>
      <c r="AG624">
        <v>22</v>
      </c>
      <c r="AH624">
        <v>154</v>
      </c>
      <c r="AI624">
        <v>33.419431818181813</v>
      </c>
      <c r="AJ624">
        <v>25.98</v>
      </c>
      <c r="AK624">
        <v>28.31</v>
      </c>
      <c r="AL624">
        <v>8.91</v>
      </c>
      <c r="AM624">
        <v>1201</v>
      </c>
      <c r="AN624">
        <v>14.3</v>
      </c>
      <c r="AO624">
        <v>7.34</v>
      </c>
      <c r="AP624">
        <v>20.399999999999999</v>
      </c>
      <c r="AQ624">
        <v>10</v>
      </c>
    </row>
    <row r="625" spans="1:43" x14ac:dyDescent="0.3">
      <c r="A625">
        <v>624</v>
      </c>
      <c r="B625" t="s">
        <v>1674</v>
      </c>
      <c r="C625">
        <v>2024</v>
      </c>
      <c r="D625" t="s">
        <v>1617</v>
      </c>
      <c r="E625">
        <v>19</v>
      </c>
      <c r="F625" t="s">
        <v>1139</v>
      </c>
      <c r="G625" t="s">
        <v>1565</v>
      </c>
      <c r="H625" t="s">
        <v>1316</v>
      </c>
      <c r="I625" t="s">
        <v>1565</v>
      </c>
      <c r="J625" t="s">
        <v>50</v>
      </c>
      <c r="K625">
        <v>4.9000000000000004</v>
      </c>
      <c r="L625">
        <v>5.4</v>
      </c>
      <c r="M625">
        <v>4.3</v>
      </c>
      <c r="N625">
        <v>6801</v>
      </c>
      <c r="O625">
        <v>56107</v>
      </c>
      <c r="P625">
        <v>4.3</v>
      </c>
      <c r="Q625">
        <v>204</v>
      </c>
      <c r="R625">
        <v>29.1</v>
      </c>
      <c r="S625">
        <v>3.52</v>
      </c>
      <c r="T625" t="s">
        <v>58</v>
      </c>
      <c r="U625">
        <v>21749</v>
      </c>
      <c r="V625">
        <v>1</v>
      </c>
      <c r="W625">
        <v>1</v>
      </c>
      <c r="X625">
        <v>1932</v>
      </c>
      <c r="Y625">
        <v>21.3</v>
      </c>
      <c r="Z625" t="s">
        <v>82</v>
      </c>
      <c r="AA625">
        <v>47</v>
      </c>
      <c r="AB625">
        <v>53</v>
      </c>
      <c r="AC625" t="s">
        <v>53</v>
      </c>
      <c r="AD625">
        <v>16830</v>
      </c>
      <c r="AE625">
        <v>7738</v>
      </c>
      <c r="AF625">
        <v>1411.06</v>
      </c>
      <c r="AG625">
        <v>2</v>
      </c>
      <c r="AH625">
        <v>1236</v>
      </c>
      <c r="AI625">
        <v>22.158000000000001</v>
      </c>
      <c r="AJ625">
        <v>26.08</v>
      </c>
      <c r="AK625">
        <v>14.61</v>
      </c>
      <c r="AL625">
        <v>7.46</v>
      </c>
      <c r="AM625">
        <v>1201</v>
      </c>
      <c r="AN625">
        <v>14.3</v>
      </c>
      <c r="AO625">
        <v>14.22</v>
      </c>
      <c r="AP625">
        <v>21.3</v>
      </c>
      <c r="AQ625">
        <v>1</v>
      </c>
    </row>
    <row r="626" spans="1:43" x14ac:dyDescent="0.3">
      <c r="A626">
        <v>625</v>
      </c>
      <c r="B626" t="s">
        <v>1675</v>
      </c>
      <c r="C626">
        <v>2024</v>
      </c>
      <c r="D626" t="s">
        <v>1617</v>
      </c>
      <c r="E626">
        <v>12</v>
      </c>
      <c r="F626" t="s">
        <v>1139</v>
      </c>
      <c r="G626" t="s">
        <v>1676</v>
      </c>
      <c r="H626" t="s">
        <v>1210</v>
      </c>
      <c r="I626" t="s">
        <v>1677</v>
      </c>
      <c r="J626" t="s">
        <v>50</v>
      </c>
      <c r="K626">
        <v>11.7</v>
      </c>
      <c r="L626">
        <v>5.8</v>
      </c>
      <c r="M626">
        <v>2.7</v>
      </c>
      <c r="N626">
        <v>11086</v>
      </c>
      <c r="O626">
        <v>10735</v>
      </c>
      <c r="P626">
        <v>2.7</v>
      </c>
      <c r="Q626">
        <v>110</v>
      </c>
      <c r="R626">
        <v>11.1</v>
      </c>
      <c r="S626">
        <v>4.32</v>
      </c>
      <c r="T626" t="s">
        <v>51</v>
      </c>
      <c r="U626">
        <v>50145</v>
      </c>
      <c r="V626">
        <v>0</v>
      </c>
      <c r="W626">
        <v>1</v>
      </c>
      <c r="X626">
        <v>1382</v>
      </c>
      <c r="Y626">
        <v>35.200000000000003</v>
      </c>
      <c r="Z626" t="s">
        <v>521</v>
      </c>
      <c r="AA626">
        <v>63</v>
      </c>
      <c r="AB626">
        <v>37</v>
      </c>
      <c r="AC626" t="s">
        <v>53</v>
      </c>
      <c r="AD626">
        <v>32167</v>
      </c>
      <c r="AE626">
        <v>18672</v>
      </c>
      <c r="AF626">
        <v>1252.79</v>
      </c>
      <c r="AG626">
        <v>1</v>
      </c>
      <c r="AH626">
        <v>1848</v>
      </c>
      <c r="AI626">
        <v>14.49</v>
      </c>
      <c r="AJ626">
        <v>22.35</v>
      </c>
      <c r="AK626">
        <v>7.25</v>
      </c>
      <c r="AL626">
        <v>17.02</v>
      </c>
      <c r="AM626">
        <v>1201</v>
      </c>
      <c r="AN626">
        <v>14.3</v>
      </c>
      <c r="AO626">
        <v>6.06</v>
      </c>
      <c r="AP626">
        <v>35.200000000000003</v>
      </c>
      <c r="AQ626">
        <v>0</v>
      </c>
    </row>
    <row r="627" spans="1:43" x14ac:dyDescent="0.3">
      <c r="A627">
        <v>626</v>
      </c>
      <c r="B627" t="s">
        <v>1678</v>
      </c>
      <c r="C627">
        <v>2024</v>
      </c>
      <c r="D627" t="s">
        <v>1617</v>
      </c>
      <c r="E627">
        <v>23</v>
      </c>
      <c r="F627" t="s">
        <v>1139</v>
      </c>
      <c r="G627" t="s">
        <v>1679</v>
      </c>
      <c r="H627" t="s">
        <v>1210</v>
      </c>
      <c r="I627" t="s">
        <v>1680</v>
      </c>
      <c r="J627" t="s">
        <v>50</v>
      </c>
      <c r="K627">
        <v>9.4</v>
      </c>
      <c r="L627">
        <v>4</v>
      </c>
      <c r="M627">
        <v>2.6</v>
      </c>
      <c r="N627">
        <v>6375</v>
      </c>
      <c r="O627">
        <v>5871</v>
      </c>
      <c r="P627">
        <v>2.6</v>
      </c>
      <c r="Q627">
        <v>74</v>
      </c>
      <c r="R627">
        <v>8.6</v>
      </c>
      <c r="S627">
        <v>3.55</v>
      </c>
      <c r="T627" t="s">
        <v>77</v>
      </c>
      <c r="U627">
        <v>22879</v>
      </c>
      <c r="V627">
        <v>0</v>
      </c>
      <c r="W627">
        <v>0</v>
      </c>
      <c r="X627">
        <v>2558</v>
      </c>
      <c r="Y627">
        <v>9.4</v>
      </c>
      <c r="Z627" t="s">
        <v>116</v>
      </c>
      <c r="AA627">
        <v>55</v>
      </c>
      <c r="AB627">
        <v>45</v>
      </c>
      <c r="AC627" t="s">
        <v>53</v>
      </c>
      <c r="AD627">
        <v>21597</v>
      </c>
      <c r="AE627">
        <v>13064</v>
      </c>
      <c r="AF627">
        <v>1458.35</v>
      </c>
      <c r="AG627">
        <v>5</v>
      </c>
      <c r="AH627">
        <v>1338</v>
      </c>
      <c r="AI627">
        <v>22.9358</v>
      </c>
      <c r="AJ627">
        <v>25.22</v>
      </c>
      <c r="AK627">
        <v>19.510000000000002</v>
      </c>
      <c r="AL627">
        <v>6.34</v>
      </c>
      <c r="AM627">
        <v>1201</v>
      </c>
      <c r="AN627">
        <v>14.3</v>
      </c>
      <c r="AO627">
        <v>5</v>
      </c>
      <c r="AP627">
        <v>9.4</v>
      </c>
      <c r="AQ627">
        <v>0</v>
      </c>
    </row>
    <row r="628" spans="1:43" x14ac:dyDescent="0.3">
      <c r="A628">
        <v>627</v>
      </c>
      <c r="B628" t="s">
        <v>1681</v>
      </c>
      <c r="C628">
        <v>2024</v>
      </c>
      <c r="D628" t="s">
        <v>1617</v>
      </c>
      <c r="E628">
        <v>23</v>
      </c>
      <c r="F628" t="s">
        <v>1139</v>
      </c>
      <c r="G628" t="s">
        <v>1679</v>
      </c>
      <c r="H628" t="s">
        <v>1210</v>
      </c>
      <c r="I628" t="s">
        <v>1682</v>
      </c>
      <c r="J628" t="s">
        <v>50</v>
      </c>
      <c r="K628">
        <v>9.1</v>
      </c>
      <c r="L628">
        <v>2.4</v>
      </c>
      <c r="M628">
        <v>3.1</v>
      </c>
      <c r="N628">
        <v>10740</v>
      </c>
      <c r="O628">
        <v>8098</v>
      </c>
      <c r="P628">
        <v>3.1</v>
      </c>
      <c r="Q628">
        <v>76</v>
      </c>
      <c r="R628">
        <v>9.6</v>
      </c>
      <c r="S628">
        <v>3.07</v>
      </c>
      <c r="T628" t="s">
        <v>58</v>
      </c>
      <c r="U628">
        <v>51291</v>
      </c>
      <c r="V628">
        <v>0</v>
      </c>
      <c r="W628">
        <v>1</v>
      </c>
      <c r="X628">
        <v>2629</v>
      </c>
      <c r="Y628">
        <v>19.899999999999999</v>
      </c>
      <c r="Z628" t="s">
        <v>241</v>
      </c>
      <c r="AA628">
        <v>54</v>
      </c>
      <c r="AB628">
        <v>46</v>
      </c>
      <c r="AC628" t="s">
        <v>53</v>
      </c>
      <c r="AD628">
        <v>38425</v>
      </c>
      <c r="AE628">
        <v>12296</v>
      </c>
      <c r="AF628">
        <v>1458.35</v>
      </c>
      <c r="AG628">
        <v>5</v>
      </c>
      <c r="AH628">
        <v>1338</v>
      </c>
      <c r="AI628">
        <v>22.9358</v>
      </c>
      <c r="AJ628">
        <v>25.22</v>
      </c>
      <c r="AK628">
        <v>19.510000000000002</v>
      </c>
      <c r="AL628">
        <v>6.34</v>
      </c>
      <c r="AM628">
        <v>1201</v>
      </c>
      <c r="AN628">
        <v>14.3</v>
      </c>
      <c r="AO628">
        <v>5.7</v>
      </c>
      <c r="AP628">
        <v>19.899999999999999</v>
      </c>
      <c r="AQ628">
        <v>0</v>
      </c>
    </row>
    <row r="629" spans="1:43" x14ac:dyDescent="0.3">
      <c r="A629">
        <v>628</v>
      </c>
      <c r="B629" t="s">
        <v>1683</v>
      </c>
      <c r="C629">
        <v>2024</v>
      </c>
      <c r="D629" t="s">
        <v>1617</v>
      </c>
      <c r="E629">
        <v>23</v>
      </c>
      <c r="F629" t="s">
        <v>1139</v>
      </c>
      <c r="G629" t="s">
        <v>1679</v>
      </c>
      <c r="H629" t="s">
        <v>1210</v>
      </c>
      <c r="I629" t="s">
        <v>1684</v>
      </c>
      <c r="J629" t="s">
        <v>50</v>
      </c>
      <c r="K629">
        <v>7.3</v>
      </c>
      <c r="L629">
        <v>3.1</v>
      </c>
      <c r="M629">
        <v>5.8</v>
      </c>
      <c r="N629">
        <v>12498</v>
      </c>
      <c r="O629">
        <v>15862</v>
      </c>
      <c r="P629">
        <v>5.8</v>
      </c>
      <c r="Q629">
        <v>123</v>
      </c>
      <c r="R629">
        <v>10.7</v>
      </c>
      <c r="S629">
        <v>4.1500000000000004</v>
      </c>
      <c r="T629" t="s">
        <v>77</v>
      </c>
      <c r="U629">
        <v>40899</v>
      </c>
      <c r="V629">
        <v>1</v>
      </c>
      <c r="W629">
        <v>27.143937220000002</v>
      </c>
      <c r="X629">
        <v>2098</v>
      </c>
      <c r="Y629">
        <v>19.8</v>
      </c>
      <c r="Z629" t="s">
        <v>197</v>
      </c>
      <c r="AA629">
        <v>50.83850004</v>
      </c>
      <c r="AB629">
        <v>49.16149996</v>
      </c>
      <c r="AC629" t="s">
        <v>53</v>
      </c>
      <c r="AD629">
        <v>26689</v>
      </c>
      <c r="AE629">
        <v>6696</v>
      </c>
      <c r="AF629">
        <v>1458.35</v>
      </c>
      <c r="AG629">
        <v>5</v>
      </c>
      <c r="AH629">
        <v>1338</v>
      </c>
      <c r="AI629">
        <v>22.9358</v>
      </c>
      <c r="AJ629">
        <v>25.22</v>
      </c>
      <c r="AK629">
        <v>19.510000000000002</v>
      </c>
      <c r="AL629">
        <v>6.34</v>
      </c>
      <c r="AM629">
        <v>1201</v>
      </c>
      <c r="AN629">
        <v>14.3</v>
      </c>
      <c r="AO629">
        <v>7.76</v>
      </c>
      <c r="AP629">
        <v>19.8</v>
      </c>
      <c r="AQ629">
        <v>1</v>
      </c>
    </row>
    <row r="630" spans="1:43" x14ac:dyDescent="0.3">
      <c r="A630">
        <v>629</v>
      </c>
      <c r="B630" t="s">
        <v>1685</v>
      </c>
      <c r="C630">
        <v>2024</v>
      </c>
      <c r="D630" t="s">
        <v>1617</v>
      </c>
      <c r="E630">
        <v>17</v>
      </c>
      <c r="F630" t="s">
        <v>1139</v>
      </c>
      <c r="G630" t="s">
        <v>706</v>
      </c>
      <c r="H630" t="s">
        <v>100</v>
      </c>
      <c r="I630" t="s">
        <v>706</v>
      </c>
      <c r="J630" t="s">
        <v>50</v>
      </c>
      <c r="K630">
        <v>9.6</v>
      </c>
      <c r="L630">
        <v>3.1</v>
      </c>
      <c r="M630">
        <v>1.4</v>
      </c>
      <c r="N630">
        <v>13369</v>
      </c>
      <c r="O630">
        <v>6910</v>
      </c>
      <c r="P630">
        <v>1.4</v>
      </c>
      <c r="Q630">
        <v>72</v>
      </c>
      <c r="R630">
        <v>9.8000000000000007</v>
      </c>
      <c r="S630">
        <v>3.99</v>
      </c>
      <c r="T630" t="s">
        <v>96</v>
      </c>
      <c r="U630">
        <v>32713</v>
      </c>
      <c r="V630">
        <v>1</v>
      </c>
      <c r="W630">
        <v>2</v>
      </c>
      <c r="X630">
        <v>3354</v>
      </c>
      <c r="Y630">
        <v>18.5</v>
      </c>
      <c r="Z630" t="s">
        <v>138</v>
      </c>
      <c r="AA630">
        <v>56</v>
      </c>
      <c r="AB630">
        <v>44</v>
      </c>
      <c r="AC630" t="s">
        <v>53</v>
      </c>
      <c r="AD630">
        <v>21773</v>
      </c>
      <c r="AE630">
        <v>15234</v>
      </c>
      <c r="AF630">
        <v>1323.15</v>
      </c>
      <c r="AG630">
        <v>11</v>
      </c>
      <c r="AH630">
        <v>1332</v>
      </c>
      <c r="AI630">
        <v>21.125681818181821</v>
      </c>
      <c r="AJ630">
        <v>23.15</v>
      </c>
      <c r="AK630">
        <v>10.65</v>
      </c>
      <c r="AL630">
        <v>6.33</v>
      </c>
      <c r="AM630">
        <v>1201</v>
      </c>
      <c r="AN630">
        <v>14.3</v>
      </c>
      <c r="AO630">
        <v>4.76</v>
      </c>
      <c r="AP630">
        <v>18.5</v>
      </c>
      <c r="AQ630">
        <v>1</v>
      </c>
    </row>
    <row r="631" spans="1:43" x14ac:dyDescent="0.3">
      <c r="A631">
        <v>630</v>
      </c>
      <c r="B631" t="s">
        <v>1686</v>
      </c>
      <c r="C631">
        <v>2024</v>
      </c>
      <c r="D631" t="s">
        <v>1617</v>
      </c>
      <c r="E631">
        <v>13</v>
      </c>
      <c r="F631" t="s">
        <v>1139</v>
      </c>
      <c r="G631" t="s">
        <v>706</v>
      </c>
      <c r="H631" t="s">
        <v>100</v>
      </c>
      <c r="I631" t="s">
        <v>1687</v>
      </c>
      <c r="J631" t="s">
        <v>50</v>
      </c>
      <c r="K631">
        <v>7.6</v>
      </c>
      <c r="L631">
        <v>6.2</v>
      </c>
      <c r="M631">
        <v>1.3</v>
      </c>
      <c r="N631">
        <v>7562</v>
      </c>
      <c r="O631">
        <v>3711</v>
      </c>
      <c r="P631">
        <v>1.3</v>
      </c>
      <c r="Q631">
        <v>61</v>
      </c>
      <c r="R631">
        <v>8.1</v>
      </c>
      <c r="S631">
        <v>2.63</v>
      </c>
      <c r="T631" t="s">
        <v>51</v>
      </c>
      <c r="U631">
        <v>35761</v>
      </c>
      <c r="V631">
        <v>2</v>
      </c>
      <c r="W631">
        <v>2</v>
      </c>
      <c r="X631">
        <v>2720</v>
      </c>
      <c r="Y631">
        <v>19.2</v>
      </c>
      <c r="Z631" t="s">
        <v>87</v>
      </c>
      <c r="AA631">
        <v>55</v>
      </c>
      <c r="AB631">
        <v>45</v>
      </c>
      <c r="AC631" t="s">
        <v>53</v>
      </c>
      <c r="AD631">
        <v>30451</v>
      </c>
      <c r="AE631">
        <v>10404</v>
      </c>
      <c r="AF631">
        <v>1323.15</v>
      </c>
      <c r="AG631">
        <v>11</v>
      </c>
      <c r="AH631">
        <v>1332</v>
      </c>
      <c r="AI631">
        <v>21.125681818181821</v>
      </c>
      <c r="AJ631">
        <v>23.15</v>
      </c>
      <c r="AK631">
        <v>10.65</v>
      </c>
      <c r="AL631">
        <v>6.33</v>
      </c>
      <c r="AM631">
        <v>1201</v>
      </c>
      <c r="AN631">
        <v>14.3</v>
      </c>
      <c r="AO631">
        <v>4.0199999999999996</v>
      </c>
      <c r="AP631">
        <v>19.2</v>
      </c>
      <c r="AQ631">
        <v>2</v>
      </c>
    </row>
    <row r="632" spans="1:43" x14ac:dyDescent="0.3">
      <c r="A632">
        <v>631</v>
      </c>
      <c r="B632" t="s">
        <v>1688</v>
      </c>
      <c r="C632">
        <v>2024</v>
      </c>
      <c r="D632" t="s">
        <v>1617</v>
      </c>
      <c r="E632">
        <v>33</v>
      </c>
      <c r="F632" t="s">
        <v>1139</v>
      </c>
      <c r="G632" t="s">
        <v>1123</v>
      </c>
      <c r="H632" t="s">
        <v>100</v>
      </c>
      <c r="I632" t="s">
        <v>1689</v>
      </c>
      <c r="J632" t="s">
        <v>50</v>
      </c>
      <c r="K632">
        <v>6</v>
      </c>
      <c r="L632">
        <v>6.2</v>
      </c>
      <c r="M632">
        <v>5.4</v>
      </c>
      <c r="N632">
        <v>2789</v>
      </c>
      <c r="O632">
        <v>11440</v>
      </c>
      <c r="P632">
        <v>5.4</v>
      </c>
      <c r="Q632">
        <v>109</v>
      </c>
      <c r="R632">
        <v>10.9</v>
      </c>
      <c r="S632">
        <v>1.92</v>
      </c>
      <c r="T632" t="s">
        <v>58</v>
      </c>
      <c r="U632">
        <v>11730</v>
      </c>
      <c r="V632">
        <v>6</v>
      </c>
      <c r="W632">
        <v>6</v>
      </c>
      <c r="X632">
        <v>1449</v>
      </c>
      <c r="Y632">
        <v>16.100000000000001</v>
      </c>
      <c r="Z632" t="s">
        <v>852</v>
      </c>
      <c r="AA632">
        <v>36</v>
      </c>
      <c r="AB632">
        <v>64</v>
      </c>
      <c r="AC632" t="s">
        <v>53</v>
      </c>
      <c r="AD632">
        <v>5949</v>
      </c>
      <c r="AE632">
        <v>3594</v>
      </c>
      <c r="AF632">
        <v>795.19</v>
      </c>
      <c r="AG632">
        <v>8</v>
      </c>
      <c r="AH632">
        <v>685</v>
      </c>
      <c r="AI632">
        <v>29.588437500000001</v>
      </c>
      <c r="AJ632">
        <v>29.39</v>
      </c>
      <c r="AK632">
        <v>22.69</v>
      </c>
      <c r="AL632">
        <v>21.22</v>
      </c>
      <c r="AM632">
        <v>1201</v>
      </c>
      <c r="AN632">
        <v>14.3</v>
      </c>
      <c r="AO632">
        <v>7.6</v>
      </c>
      <c r="AP632">
        <v>16.100000000000001</v>
      </c>
      <c r="AQ632">
        <v>6</v>
      </c>
    </row>
    <row r="633" spans="1:43" x14ac:dyDescent="0.3">
      <c r="A633">
        <v>632</v>
      </c>
      <c r="B633" t="s">
        <v>1690</v>
      </c>
      <c r="C633">
        <v>2024</v>
      </c>
      <c r="D633" t="s">
        <v>1617</v>
      </c>
      <c r="E633">
        <v>8</v>
      </c>
      <c r="F633" t="s">
        <v>1139</v>
      </c>
      <c r="G633" t="s">
        <v>1471</v>
      </c>
      <c r="H633" t="s">
        <v>100</v>
      </c>
      <c r="I633" t="s">
        <v>1691</v>
      </c>
      <c r="J633" t="s">
        <v>50</v>
      </c>
      <c r="K633">
        <v>3.6</v>
      </c>
      <c r="L633">
        <v>6.3</v>
      </c>
      <c r="M633">
        <v>1.9</v>
      </c>
      <c r="N633">
        <v>5891</v>
      </c>
      <c r="O633">
        <v>5964</v>
      </c>
      <c r="P633">
        <v>1.9</v>
      </c>
      <c r="Q633">
        <v>80</v>
      </c>
      <c r="R633">
        <v>5.7</v>
      </c>
      <c r="S633">
        <v>2.92</v>
      </c>
      <c r="T633" t="s">
        <v>96</v>
      </c>
      <c r="U633">
        <v>30973</v>
      </c>
      <c r="V633">
        <v>0</v>
      </c>
      <c r="W633">
        <v>1</v>
      </c>
      <c r="X633">
        <v>2079</v>
      </c>
      <c r="Y633">
        <v>14.9</v>
      </c>
      <c r="Z633" t="s">
        <v>82</v>
      </c>
      <c r="AA633">
        <v>55</v>
      </c>
      <c r="AB633">
        <v>45</v>
      </c>
      <c r="AC633" t="s">
        <v>53</v>
      </c>
      <c r="AD633">
        <v>17911</v>
      </c>
      <c r="AE633">
        <v>11784</v>
      </c>
      <c r="AF633">
        <v>1516.04</v>
      </c>
      <c r="AG633">
        <v>5</v>
      </c>
      <c r="AH633">
        <v>1346</v>
      </c>
      <c r="AI633">
        <v>19.221299999999999</v>
      </c>
      <c r="AJ633">
        <v>18.920000000000002</v>
      </c>
      <c r="AK633">
        <v>13.9</v>
      </c>
      <c r="AL633">
        <v>1.06</v>
      </c>
      <c r="AM633">
        <v>1201</v>
      </c>
      <c r="AN633">
        <v>14.3</v>
      </c>
      <c r="AO633">
        <v>3.42</v>
      </c>
      <c r="AP633">
        <v>14.9</v>
      </c>
      <c r="AQ633">
        <v>0</v>
      </c>
    </row>
    <row r="634" spans="1:43" x14ac:dyDescent="0.3">
      <c r="A634">
        <v>633</v>
      </c>
      <c r="B634" t="s">
        <v>1692</v>
      </c>
      <c r="C634">
        <v>2024</v>
      </c>
      <c r="D634" t="s">
        <v>1617</v>
      </c>
      <c r="E634">
        <v>8</v>
      </c>
      <c r="F634" t="s">
        <v>1139</v>
      </c>
      <c r="G634" t="s">
        <v>1471</v>
      </c>
      <c r="H634" t="s">
        <v>100</v>
      </c>
      <c r="I634" t="s">
        <v>1693</v>
      </c>
      <c r="J634" t="s">
        <v>50</v>
      </c>
      <c r="K634">
        <v>4.4000000000000004</v>
      </c>
      <c r="L634">
        <v>6</v>
      </c>
      <c r="M634">
        <v>1.4</v>
      </c>
      <c r="N634">
        <v>12638</v>
      </c>
      <c r="O634">
        <v>5280</v>
      </c>
      <c r="P634">
        <v>1.4</v>
      </c>
      <c r="Q634">
        <v>80</v>
      </c>
      <c r="R634">
        <v>5.6</v>
      </c>
      <c r="S634">
        <v>2.39</v>
      </c>
      <c r="T634" t="s">
        <v>71</v>
      </c>
      <c r="U634">
        <v>42848</v>
      </c>
      <c r="V634">
        <v>0</v>
      </c>
      <c r="W634">
        <v>0</v>
      </c>
      <c r="X634">
        <v>2919</v>
      </c>
      <c r="Y634">
        <v>11.7</v>
      </c>
      <c r="Z634" t="s">
        <v>146</v>
      </c>
      <c r="AA634">
        <v>64</v>
      </c>
      <c r="AB634">
        <v>36</v>
      </c>
      <c r="AC634" t="s">
        <v>53</v>
      </c>
      <c r="AD634">
        <v>58002</v>
      </c>
      <c r="AE634">
        <v>30216</v>
      </c>
      <c r="AF634">
        <v>1516.04</v>
      </c>
      <c r="AG634">
        <v>5</v>
      </c>
      <c r="AH634">
        <v>1346</v>
      </c>
      <c r="AI634">
        <v>19.221299999999999</v>
      </c>
      <c r="AJ634">
        <v>18.920000000000002</v>
      </c>
      <c r="AK634">
        <v>13.9</v>
      </c>
      <c r="AL634">
        <v>1.06</v>
      </c>
      <c r="AM634">
        <v>1201</v>
      </c>
      <c r="AN634">
        <v>14.3</v>
      </c>
      <c r="AO634">
        <v>3.08</v>
      </c>
      <c r="AP634">
        <v>11.7</v>
      </c>
      <c r="AQ634">
        <v>0</v>
      </c>
    </row>
    <row r="635" spans="1:43" x14ac:dyDescent="0.3">
      <c r="A635">
        <v>634</v>
      </c>
      <c r="B635" t="s">
        <v>1694</v>
      </c>
      <c r="C635">
        <v>2024</v>
      </c>
      <c r="D635" t="s">
        <v>1617</v>
      </c>
      <c r="E635">
        <v>1</v>
      </c>
      <c r="F635" t="s">
        <v>1139</v>
      </c>
      <c r="G635" t="s">
        <v>1695</v>
      </c>
      <c r="H635" t="s">
        <v>48</v>
      </c>
      <c r="I635" t="s">
        <v>1695</v>
      </c>
      <c r="J635" t="s">
        <v>50</v>
      </c>
      <c r="K635">
        <v>7.8</v>
      </c>
      <c r="L635">
        <v>5.5</v>
      </c>
      <c r="M635">
        <v>18</v>
      </c>
      <c r="N635">
        <v>2907</v>
      </c>
      <c r="O635">
        <v>327</v>
      </c>
      <c r="P635">
        <v>17.378225839999999</v>
      </c>
      <c r="Q635">
        <v>108</v>
      </c>
      <c r="R635">
        <v>770</v>
      </c>
      <c r="S635">
        <v>3.91</v>
      </c>
      <c r="T635" t="s">
        <v>51</v>
      </c>
      <c r="U635">
        <v>9899</v>
      </c>
      <c r="V635">
        <v>12</v>
      </c>
      <c r="W635">
        <v>13</v>
      </c>
      <c r="X635">
        <v>744</v>
      </c>
      <c r="Y635">
        <v>17</v>
      </c>
      <c r="Z635" t="s">
        <v>859</v>
      </c>
      <c r="AA635">
        <v>69</v>
      </c>
      <c r="AB635">
        <v>31</v>
      </c>
      <c r="AC635" t="s">
        <v>53</v>
      </c>
      <c r="AD635">
        <v>5337</v>
      </c>
      <c r="AE635">
        <v>4006</v>
      </c>
      <c r="AF635">
        <v>720.5</v>
      </c>
      <c r="AG635">
        <v>1</v>
      </c>
      <c r="AH635">
        <v>506</v>
      </c>
      <c r="AI635">
        <v>45.152000000000001</v>
      </c>
      <c r="AJ635">
        <v>22.71</v>
      </c>
      <c r="AK635">
        <v>29.2</v>
      </c>
      <c r="AL635">
        <v>9.5</v>
      </c>
      <c r="AM635">
        <v>1201</v>
      </c>
      <c r="AN635">
        <v>14.3</v>
      </c>
      <c r="AO635">
        <v>318.8</v>
      </c>
      <c r="AP635">
        <v>17</v>
      </c>
      <c r="AQ635">
        <v>12</v>
      </c>
    </row>
    <row r="636" spans="1:43" x14ac:dyDescent="0.3">
      <c r="A636">
        <v>635</v>
      </c>
      <c r="B636" t="s">
        <v>1696</v>
      </c>
      <c r="C636">
        <v>2024</v>
      </c>
      <c r="D636" t="s">
        <v>1617</v>
      </c>
      <c r="E636">
        <v>8</v>
      </c>
      <c r="F636" t="s">
        <v>1139</v>
      </c>
      <c r="G636" t="s">
        <v>1471</v>
      </c>
      <c r="H636" t="s">
        <v>100</v>
      </c>
      <c r="I636" t="s">
        <v>1697</v>
      </c>
      <c r="J636" t="s">
        <v>50</v>
      </c>
      <c r="K636">
        <v>3.3</v>
      </c>
      <c r="L636">
        <v>8.5</v>
      </c>
      <c r="M636">
        <v>1.4</v>
      </c>
      <c r="N636">
        <v>10894</v>
      </c>
      <c r="O636">
        <v>6625</v>
      </c>
      <c r="P636">
        <v>1.4</v>
      </c>
      <c r="Q636">
        <v>95</v>
      </c>
      <c r="R636">
        <v>4.8</v>
      </c>
      <c r="S636">
        <v>3.46</v>
      </c>
      <c r="T636" t="s">
        <v>96</v>
      </c>
      <c r="U636">
        <v>28175</v>
      </c>
      <c r="V636">
        <v>0</v>
      </c>
      <c r="W636">
        <v>0</v>
      </c>
      <c r="X636">
        <v>2356</v>
      </c>
      <c r="Y636">
        <v>12.3</v>
      </c>
      <c r="Z636" t="s">
        <v>741</v>
      </c>
      <c r="AA636">
        <v>59</v>
      </c>
      <c r="AB636">
        <v>41</v>
      </c>
      <c r="AC636" t="s">
        <v>53</v>
      </c>
      <c r="AD636">
        <v>23748</v>
      </c>
      <c r="AE636">
        <v>12112</v>
      </c>
      <c r="AF636">
        <v>1516.04</v>
      </c>
      <c r="AG636">
        <v>5</v>
      </c>
      <c r="AH636">
        <v>1346</v>
      </c>
      <c r="AI636">
        <v>19.221299999999999</v>
      </c>
      <c r="AJ636">
        <v>18.920000000000002</v>
      </c>
      <c r="AK636">
        <v>13.9</v>
      </c>
      <c r="AL636">
        <v>1.06</v>
      </c>
      <c r="AM636">
        <v>1201</v>
      </c>
      <c r="AN636">
        <v>14.3</v>
      </c>
      <c r="AO636">
        <v>2.76</v>
      </c>
      <c r="AP636">
        <v>12.3</v>
      </c>
      <c r="AQ636">
        <v>0</v>
      </c>
    </row>
    <row r="637" spans="1:43" x14ac:dyDescent="0.3">
      <c r="A637">
        <v>636</v>
      </c>
      <c r="B637" t="s">
        <v>1698</v>
      </c>
      <c r="C637">
        <v>2024</v>
      </c>
      <c r="D637" t="s">
        <v>1617</v>
      </c>
      <c r="E637">
        <v>205</v>
      </c>
      <c r="F637" t="s">
        <v>1139</v>
      </c>
      <c r="G637" t="s">
        <v>63</v>
      </c>
      <c r="H637" t="s">
        <v>1316</v>
      </c>
      <c r="I637" t="s">
        <v>1317</v>
      </c>
      <c r="J637" t="s">
        <v>50</v>
      </c>
      <c r="K637">
        <v>3.1</v>
      </c>
      <c r="L637">
        <v>5.0999999999999996</v>
      </c>
      <c r="M637">
        <v>8.9</v>
      </c>
      <c r="N637">
        <v>4716</v>
      </c>
      <c r="O637">
        <v>1001</v>
      </c>
      <c r="P637">
        <v>8.9</v>
      </c>
      <c r="Q637">
        <v>155</v>
      </c>
      <c r="R637">
        <v>918</v>
      </c>
      <c r="S637">
        <v>3.14</v>
      </c>
      <c r="T637" t="s">
        <v>96</v>
      </c>
      <c r="U637">
        <v>16549</v>
      </c>
      <c r="V637">
        <v>5</v>
      </c>
      <c r="W637">
        <v>10</v>
      </c>
      <c r="X637">
        <v>1503</v>
      </c>
      <c r="Y637">
        <v>14.9</v>
      </c>
      <c r="Z637" t="s">
        <v>326</v>
      </c>
      <c r="AA637">
        <v>60</v>
      </c>
      <c r="AB637">
        <v>40</v>
      </c>
      <c r="AC637" t="s">
        <v>53</v>
      </c>
      <c r="AD637">
        <v>10225</v>
      </c>
      <c r="AE637">
        <v>5536</v>
      </c>
      <c r="AF637">
        <v>647.61</v>
      </c>
      <c r="AG637">
        <v>98</v>
      </c>
      <c r="AH637">
        <v>2</v>
      </c>
      <c r="AI637">
        <v>56.843244897959181</v>
      </c>
      <c r="AJ637">
        <v>29.74</v>
      </c>
      <c r="AK637">
        <v>38.11</v>
      </c>
      <c r="AL637">
        <v>19.260000000000002</v>
      </c>
      <c r="AM637">
        <v>1201</v>
      </c>
      <c r="AN637">
        <v>14.3</v>
      </c>
      <c r="AO637">
        <v>372.54</v>
      </c>
      <c r="AP637">
        <v>14.9</v>
      </c>
      <c r="AQ637">
        <v>5</v>
      </c>
    </row>
    <row r="638" spans="1:43" x14ac:dyDescent="0.3">
      <c r="A638">
        <v>637</v>
      </c>
      <c r="B638" t="s">
        <v>1699</v>
      </c>
      <c r="C638">
        <v>2024</v>
      </c>
      <c r="D638" t="s">
        <v>1617</v>
      </c>
      <c r="E638">
        <v>18</v>
      </c>
      <c r="F638" t="s">
        <v>1139</v>
      </c>
      <c r="G638" t="s">
        <v>642</v>
      </c>
      <c r="H638" t="s">
        <v>48</v>
      </c>
      <c r="I638" t="s">
        <v>1609</v>
      </c>
      <c r="J638" t="s">
        <v>50</v>
      </c>
      <c r="K638">
        <v>6</v>
      </c>
      <c r="L638">
        <v>1</v>
      </c>
      <c r="M638">
        <v>4.0999999999999996</v>
      </c>
      <c r="N638">
        <v>2609</v>
      </c>
      <c r="O638">
        <v>3493</v>
      </c>
      <c r="P638">
        <v>4.0999999999999996</v>
      </c>
      <c r="Q638">
        <v>64</v>
      </c>
      <c r="R638">
        <v>7</v>
      </c>
      <c r="S638">
        <v>3.42</v>
      </c>
      <c r="T638" t="s">
        <v>71</v>
      </c>
      <c r="U638">
        <v>8526</v>
      </c>
      <c r="V638">
        <v>9</v>
      </c>
      <c r="W638">
        <v>12</v>
      </c>
      <c r="X638">
        <v>564</v>
      </c>
      <c r="Y638">
        <v>16</v>
      </c>
      <c r="Z638" t="s">
        <v>1519</v>
      </c>
      <c r="AA638">
        <v>70</v>
      </c>
      <c r="AB638">
        <v>30</v>
      </c>
      <c r="AC638" t="s">
        <v>53</v>
      </c>
      <c r="AD638">
        <v>6521</v>
      </c>
      <c r="AE638">
        <v>2698</v>
      </c>
      <c r="AF638">
        <v>1055.02</v>
      </c>
      <c r="AG638">
        <v>11</v>
      </c>
      <c r="AH638">
        <v>459</v>
      </c>
      <c r="AI638">
        <v>29.911909090909091</v>
      </c>
      <c r="AJ638">
        <v>21.19</v>
      </c>
      <c r="AK638">
        <v>18.600000000000001</v>
      </c>
      <c r="AL638">
        <v>18.350000000000001</v>
      </c>
      <c r="AM638">
        <v>1201</v>
      </c>
      <c r="AN638">
        <v>14.3</v>
      </c>
      <c r="AO638">
        <v>5.26</v>
      </c>
      <c r="AP638">
        <v>16</v>
      </c>
      <c r="AQ638">
        <v>9</v>
      </c>
    </row>
    <row r="639" spans="1:43" x14ac:dyDescent="0.3">
      <c r="A639">
        <v>638</v>
      </c>
      <c r="B639" t="s">
        <v>1700</v>
      </c>
      <c r="C639">
        <v>2024</v>
      </c>
      <c r="D639" t="s">
        <v>1617</v>
      </c>
      <c r="E639">
        <v>13</v>
      </c>
      <c r="F639" t="s">
        <v>1139</v>
      </c>
      <c r="G639" t="s">
        <v>1142</v>
      </c>
      <c r="H639" t="s">
        <v>48</v>
      </c>
      <c r="I639" t="s">
        <v>1142</v>
      </c>
      <c r="J639" t="s">
        <v>50</v>
      </c>
      <c r="K639">
        <v>4.5</v>
      </c>
      <c r="L639">
        <v>3.5</v>
      </c>
      <c r="M639">
        <v>8.3000000000000007</v>
      </c>
      <c r="N639">
        <v>1047</v>
      </c>
      <c r="O639">
        <v>9417</v>
      </c>
      <c r="P639">
        <v>8.3000000000000007</v>
      </c>
      <c r="Q639">
        <v>97</v>
      </c>
      <c r="R639">
        <v>10.5</v>
      </c>
      <c r="S639">
        <v>1.48</v>
      </c>
      <c r="T639" t="s">
        <v>77</v>
      </c>
      <c r="U639">
        <v>5241</v>
      </c>
      <c r="V639">
        <v>7</v>
      </c>
      <c r="W639">
        <v>6</v>
      </c>
      <c r="X639">
        <v>709</v>
      </c>
      <c r="Y639">
        <v>19.5</v>
      </c>
      <c r="Z639" t="s">
        <v>52</v>
      </c>
      <c r="AA639">
        <v>49</v>
      </c>
      <c r="AB639">
        <v>51</v>
      </c>
      <c r="AC639" t="s">
        <v>53</v>
      </c>
      <c r="AD639">
        <v>3415</v>
      </c>
      <c r="AE639">
        <v>1902</v>
      </c>
      <c r="AF639">
        <v>969.17</v>
      </c>
      <c r="AG639">
        <v>8</v>
      </c>
      <c r="AH639">
        <v>779</v>
      </c>
      <c r="AI639">
        <v>28.816500000000001</v>
      </c>
      <c r="AJ639">
        <v>22.44</v>
      </c>
      <c r="AK639">
        <v>17.559999999999999</v>
      </c>
      <c r="AL639">
        <v>17.809999999999999</v>
      </c>
      <c r="AM639">
        <v>1201</v>
      </c>
      <c r="AN639">
        <v>14.3</v>
      </c>
      <c r="AO639">
        <v>9.18</v>
      </c>
      <c r="AP639">
        <v>19.5</v>
      </c>
      <c r="AQ639">
        <v>7</v>
      </c>
    </row>
    <row r="640" spans="1:43" x14ac:dyDescent="0.3">
      <c r="A640">
        <v>639</v>
      </c>
      <c r="B640" t="s">
        <v>1701</v>
      </c>
      <c r="C640">
        <v>2024</v>
      </c>
      <c r="D640" t="s">
        <v>1617</v>
      </c>
      <c r="E640">
        <v>2</v>
      </c>
      <c r="F640" t="s">
        <v>1139</v>
      </c>
      <c r="G640" t="s">
        <v>1295</v>
      </c>
      <c r="H640" t="s">
        <v>48</v>
      </c>
      <c r="I640" t="s">
        <v>1295</v>
      </c>
      <c r="J640" t="s">
        <v>50</v>
      </c>
      <c r="K640">
        <v>5.9</v>
      </c>
      <c r="L640">
        <v>2.7</v>
      </c>
      <c r="M640">
        <v>4.3</v>
      </c>
      <c r="N640">
        <v>3135</v>
      </c>
      <c r="O640">
        <v>5642</v>
      </c>
      <c r="P640">
        <v>4.3</v>
      </c>
      <c r="Q640">
        <v>73</v>
      </c>
      <c r="R640">
        <v>8</v>
      </c>
      <c r="S640">
        <v>3.37</v>
      </c>
      <c r="T640" t="s">
        <v>96</v>
      </c>
      <c r="U640">
        <v>13163</v>
      </c>
      <c r="V640">
        <v>3</v>
      </c>
      <c r="W640">
        <v>5</v>
      </c>
      <c r="X640">
        <v>923</v>
      </c>
      <c r="Y640">
        <v>15.6</v>
      </c>
      <c r="Z640" t="s">
        <v>110</v>
      </c>
      <c r="AA640">
        <v>59</v>
      </c>
      <c r="AB640">
        <v>41</v>
      </c>
      <c r="AC640" t="s">
        <v>53</v>
      </c>
      <c r="AD640">
        <v>9860</v>
      </c>
      <c r="AE640">
        <v>2889</v>
      </c>
      <c r="AF640">
        <v>1102.17</v>
      </c>
      <c r="AG640">
        <v>3</v>
      </c>
      <c r="AH640">
        <v>1096</v>
      </c>
      <c r="AI640">
        <v>26.87866666666666</v>
      </c>
      <c r="AJ640">
        <v>12.7</v>
      </c>
      <c r="AK640">
        <v>8.5299999999999994</v>
      </c>
      <c r="AL640">
        <v>4</v>
      </c>
      <c r="AM640">
        <v>1201</v>
      </c>
      <c r="AN640">
        <v>14.3</v>
      </c>
      <c r="AO640">
        <v>5.78</v>
      </c>
      <c r="AP640">
        <v>15.6</v>
      </c>
      <c r="AQ640">
        <v>3</v>
      </c>
    </row>
    <row r="641" spans="1:43" x14ac:dyDescent="0.3">
      <c r="A641">
        <v>640</v>
      </c>
      <c r="B641" t="s">
        <v>1702</v>
      </c>
      <c r="C641">
        <v>2024</v>
      </c>
      <c r="D641" t="s">
        <v>1617</v>
      </c>
      <c r="E641">
        <v>9</v>
      </c>
      <c r="F641" t="s">
        <v>1139</v>
      </c>
      <c r="G641" t="s">
        <v>755</v>
      </c>
      <c r="H641" t="s">
        <v>48</v>
      </c>
      <c r="I641" t="s">
        <v>1703</v>
      </c>
      <c r="J641" t="s">
        <v>50</v>
      </c>
      <c r="K641">
        <v>5.3</v>
      </c>
      <c r="L641">
        <v>4.3</v>
      </c>
      <c r="M641">
        <v>3.3</v>
      </c>
      <c r="N641">
        <v>3426</v>
      </c>
      <c r="O641">
        <v>673</v>
      </c>
      <c r="P641">
        <v>3.3</v>
      </c>
      <c r="Q641">
        <v>57</v>
      </c>
      <c r="R641">
        <v>806</v>
      </c>
      <c r="S641">
        <v>0.36221743810548979</v>
      </c>
      <c r="T641" t="s">
        <v>96</v>
      </c>
      <c r="U641">
        <v>19222</v>
      </c>
      <c r="V641">
        <v>4</v>
      </c>
      <c r="W641">
        <v>5</v>
      </c>
      <c r="X641">
        <v>1858</v>
      </c>
      <c r="Y641">
        <v>11.6</v>
      </c>
      <c r="Z641" t="s">
        <v>358</v>
      </c>
      <c r="AA641">
        <v>66</v>
      </c>
      <c r="AB641">
        <v>34</v>
      </c>
      <c r="AC641" t="s">
        <v>53</v>
      </c>
      <c r="AD641">
        <v>14205</v>
      </c>
      <c r="AE641">
        <v>3056</v>
      </c>
      <c r="AF641">
        <v>1260.32</v>
      </c>
      <c r="AG641">
        <v>8</v>
      </c>
      <c r="AH641">
        <v>614</v>
      </c>
      <c r="AI641">
        <v>28.03875</v>
      </c>
      <c r="AJ641">
        <v>23.47</v>
      </c>
      <c r="AK641">
        <v>21.97</v>
      </c>
      <c r="AL641">
        <v>11.88</v>
      </c>
      <c r="AM641">
        <v>1201</v>
      </c>
      <c r="AN641">
        <v>14.3</v>
      </c>
      <c r="AO641">
        <v>324.38</v>
      </c>
      <c r="AP641">
        <v>11.6</v>
      </c>
      <c r="AQ641">
        <v>4</v>
      </c>
    </row>
    <row r="642" spans="1:43" x14ac:dyDescent="0.3">
      <c r="A642">
        <v>641</v>
      </c>
      <c r="B642" t="s">
        <v>1704</v>
      </c>
      <c r="C642">
        <v>2024</v>
      </c>
      <c r="D642" t="s">
        <v>1617</v>
      </c>
      <c r="E642">
        <v>2</v>
      </c>
      <c r="F642" t="s">
        <v>1139</v>
      </c>
      <c r="G642" t="s">
        <v>1295</v>
      </c>
      <c r="H642" t="s">
        <v>48</v>
      </c>
      <c r="I642" t="s">
        <v>1705</v>
      </c>
      <c r="J642" t="s">
        <v>50</v>
      </c>
      <c r="K642">
        <v>5.9</v>
      </c>
      <c r="L642">
        <v>2.5</v>
      </c>
      <c r="M642">
        <v>3.9</v>
      </c>
      <c r="N642">
        <v>1990</v>
      </c>
      <c r="O642">
        <v>405</v>
      </c>
      <c r="P642">
        <v>3.9</v>
      </c>
      <c r="Q642">
        <v>76</v>
      </c>
      <c r="R642">
        <v>997</v>
      </c>
      <c r="S642">
        <v>0.40298507462686561</v>
      </c>
      <c r="T642" t="s">
        <v>58</v>
      </c>
      <c r="U642">
        <v>19354</v>
      </c>
      <c r="V642">
        <v>2</v>
      </c>
      <c r="W642">
        <v>3</v>
      </c>
      <c r="X642">
        <v>1005</v>
      </c>
      <c r="Y642">
        <v>15.7</v>
      </c>
      <c r="Z642" t="s">
        <v>110</v>
      </c>
      <c r="AA642">
        <v>59</v>
      </c>
      <c r="AB642">
        <v>41</v>
      </c>
      <c r="AC642" t="s">
        <v>53</v>
      </c>
      <c r="AD642">
        <v>11042</v>
      </c>
      <c r="AE642">
        <v>7769</v>
      </c>
      <c r="AF642">
        <v>1102.17</v>
      </c>
      <c r="AG642">
        <v>3</v>
      </c>
      <c r="AH642">
        <v>1096</v>
      </c>
      <c r="AI642">
        <v>26.87866666666666</v>
      </c>
      <c r="AJ642">
        <v>12.7</v>
      </c>
      <c r="AK642">
        <v>8.5299999999999994</v>
      </c>
      <c r="AL642">
        <v>4</v>
      </c>
      <c r="AM642">
        <v>1201</v>
      </c>
      <c r="AN642">
        <v>14.3</v>
      </c>
      <c r="AO642">
        <v>401.14</v>
      </c>
      <c r="AP642">
        <v>15.7</v>
      </c>
      <c r="AQ642">
        <v>2</v>
      </c>
    </row>
    <row r="643" spans="1:43" x14ac:dyDescent="0.3">
      <c r="A643">
        <v>642</v>
      </c>
      <c r="B643" t="s">
        <v>1706</v>
      </c>
      <c r="C643">
        <v>2024</v>
      </c>
      <c r="D643" t="s">
        <v>1617</v>
      </c>
      <c r="E643">
        <v>14</v>
      </c>
      <c r="F643" t="s">
        <v>1139</v>
      </c>
      <c r="G643" t="s">
        <v>755</v>
      </c>
      <c r="H643" t="s">
        <v>48</v>
      </c>
      <c r="I643" t="s">
        <v>1707</v>
      </c>
      <c r="J643" t="s">
        <v>50</v>
      </c>
      <c r="K643">
        <v>6</v>
      </c>
      <c r="L643">
        <v>10.8</v>
      </c>
      <c r="M643">
        <v>3.5</v>
      </c>
      <c r="N643">
        <v>3298</v>
      </c>
      <c r="O643">
        <v>9730</v>
      </c>
      <c r="P643">
        <v>3.5</v>
      </c>
      <c r="Q643">
        <v>111</v>
      </c>
      <c r="R643">
        <v>9.1999999999999993</v>
      </c>
      <c r="S643">
        <v>2.64</v>
      </c>
      <c r="T643" t="s">
        <v>77</v>
      </c>
      <c r="U643">
        <v>16899</v>
      </c>
      <c r="V643">
        <v>3</v>
      </c>
      <c r="W643">
        <v>3</v>
      </c>
      <c r="X643">
        <v>1250</v>
      </c>
      <c r="Y643">
        <v>17.5</v>
      </c>
      <c r="Z643" t="s">
        <v>202</v>
      </c>
      <c r="AA643">
        <v>61</v>
      </c>
      <c r="AB643">
        <v>39</v>
      </c>
      <c r="AC643" t="s">
        <v>53</v>
      </c>
      <c r="AD643">
        <v>10104</v>
      </c>
      <c r="AE643">
        <v>5726</v>
      </c>
      <c r="AF643">
        <v>1260.32</v>
      </c>
      <c r="AG643">
        <v>8</v>
      </c>
      <c r="AH643">
        <v>614</v>
      </c>
      <c r="AI643">
        <v>28.03875</v>
      </c>
      <c r="AJ643">
        <v>23.47</v>
      </c>
      <c r="AK643">
        <v>21.97</v>
      </c>
      <c r="AL643">
        <v>11.88</v>
      </c>
      <c r="AM643">
        <v>1201</v>
      </c>
      <c r="AN643">
        <v>14.3</v>
      </c>
      <c r="AO643">
        <v>5.78</v>
      </c>
      <c r="AP643">
        <v>17.5</v>
      </c>
      <c r="AQ643">
        <v>3</v>
      </c>
    </row>
    <row r="644" spans="1:43" x14ac:dyDescent="0.3">
      <c r="A644">
        <v>643</v>
      </c>
      <c r="B644" t="s">
        <v>1708</v>
      </c>
      <c r="C644">
        <v>2024</v>
      </c>
      <c r="D644" t="s">
        <v>1617</v>
      </c>
      <c r="E644">
        <v>75</v>
      </c>
      <c r="F644" t="s">
        <v>1139</v>
      </c>
      <c r="G644" t="s">
        <v>286</v>
      </c>
      <c r="H644" t="s">
        <v>48</v>
      </c>
      <c r="I644" t="s">
        <v>1709</v>
      </c>
      <c r="J644" t="s">
        <v>50</v>
      </c>
      <c r="K644">
        <v>5.9</v>
      </c>
      <c r="L644">
        <v>2.2999999999999998</v>
      </c>
      <c r="M644">
        <v>1.3</v>
      </c>
      <c r="N644">
        <v>2867</v>
      </c>
      <c r="O644">
        <v>1424</v>
      </c>
      <c r="P644">
        <v>1.3</v>
      </c>
      <c r="Q644">
        <v>35</v>
      </c>
      <c r="R644">
        <v>3.6</v>
      </c>
      <c r="S644">
        <v>2.72</v>
      </c>
      <c r="T644" t="s">
        <v>96</v>
      </c>
      <c r="U644">
        <v>16386</v>
      </c>
      <c r="V644">
        <v>15</v>
      </c>
      <c r="W644">
        <v>14</v>
      </c>
      <c r="X644">
        <v>1331</v>
      </c>
      <c r="Y644">
        <v>11.1</v>
      </c>
      <c r="Z644" t="s">
        <v>185</v>
      </c>
      <c r="AA644">
        <v>50</v>
      </c>
      <c r="AB644">
        <v>50</v>
      </c>
      <c r="AC644" t="s">
        <v>53</v>
      </c>
      <c r="AD644">
        <v>11830</v>
      </c>
      <c r="AE644">
        <v>5888</v>
      </c>
      <c r="AF644">
        <v>1470.93</v>
      </c>
      <c r="AG644">
        <v>24</v>
      </c>
      <c r="AH644">
        <v>95</v>
      </c>
      <c r="AI644">
        <v>29.87127083333333</v>
      </c>
      <c r="AJ644">
        <v>18.23</v>
      </c>
      <c r="AK644">
        <v>14.05</v>
      </c>
      <c r="AL644">
        <v>16.72</v>
      </c>
      <c r="AM644">
        <v>1201</v>
      </c>
      <c r="AN644">
        <v>14.3</v>
      </c>
      <c r="AO644">
        <v>2.2200000000000002</v>
      </c>
      <c r="AP644">
        <v>11.1</v>
      </c>
      <c r="AQ644">
        <v>15</v>
      </c>
    </row>
    <row r="645" spans="1:43" x14ac:dyDescent="0.3">
      <c r="A645">
        <v>644</v>
      </c>
      <c r="B645" t="s">
        <v>1710</v>
      </c>
      <c r="C645">
        <v>2024</v>
      </c>
      <c r="D645" t="s">
        <v>1617</v>
      </c>
      <c r="E645">
        <v>15</v>
      </c>
      <c r="F645" t="s">
        <v>1139</v>
      </c>
      <c r="G645" t="s">
        <v>706</v>
      </c>
      <c r="H645" t="s">
        <v>100</v>
      </c>
      <c r="I645" t="s">
        <v>706</v>
      </c>
      <c r="J645" t="s">
        <v>50</v>
      </c>
      <c r="K645">
        <v>9.6</v>
      </c>
      <c r="L645">
        <v>2.8</v>
      </c>
      <c r="M645">
        <v>1.4</v>
      </c>
      <c r="N645">
        <v>7792</v>
      </c>
      <c r="O645">
        <v>2940</v>
      </c>
      <c r="P645">
        <v>1.4</v>
      </c>
      <c r="Q645">
        <v>57</v>
      </c>
      <c r="R645">
        <v>6.6</v>
      </c>
      <c r="S645">
        <v>4</v>
      </c>
      <c r="T645" t="s">
        <v>96</v>
      </c>
      <c r="U645">
        <v>24073</v>
      </c>
      <c r="V645">
        <v>1</v>
      </c>
      <c r="W645">
        <v>15.20809933</v>
      </c>
      <c r="X645">
        <v>1946</v>
      </c>
      <c r="Y645">
        <v>16.3</v>
      </c>
      <c r="Z645" t="s">
        <v>138</v>
      </c>
      <c r="AA645">
        <v>50.900108369999998</v>
      </c>
      <c r="AB645">
        <v>49.099891630000002</v>
      </c>
      <c r="AC645" t="s">
        <v>53</v>
      </c>
      <c r="AD645">
        <v>17264</v>
      </c>
      <c r="AE645">
        <v>10374</v>
      </c>
      <c r="AF645">
        <v>1311.3</v>
      </c>
      <c r="AG645">
        <v>11</v>
      </c>
      <c r="AH645">
        <v>1332</v>
      </c>
      <c r="AI645">
        <v>21.125681818181821</v>
      </c>
      <c r="AJ645">
        <v>18.260000000000002</v>
      </c>
      <c r="AK645">
        <v>9.31</v>
      </c>
      <c r="AL645">
        <v>8.34</v>
      </c>
      <c r="AM645">
        <v>1201</v>
      </c>
      <c r="AN645">
        <v>14.3</v>
      </c>
      <c r="AO645">
        <v>3.48</v>
      </c>
      <c r="AP645">
        <v>16.3</v>
      </c>
      <c r="AQ645">
        <v>1</v>
      </c>
    </row>
    <row r="646" spans="1:43" x14ac:dyDescent="0.3">
      <c r="A646">
        <v>645</v>
      </c>
      <c r="B646" t="s">
        <v>1711</v>
      </c>
      <c r="C646">
        <v>2024</v>
      </c>
      <c r="D646" t="s">
        <v>1617</v>
      </c>
      <c r="E646">
        <v>22</v>
      </c>
      <c r="F646" t="s">
        <v>1139</v>
      </c>
      <c r="G646" t="s">
        <v>239</v>
      </c>
      <c r="H646" t="s">
        <v>100</v>
      </c>
      <c r="I646" t="s">
        <v>239</v>
      </c>
      <c r="J646" t="s">
        <v>65</v>
      </c>
      <c r="K646">
        <v>5.4</v>
      </c>
      <c r="L646">
        <v>5.4</v>
      </c>
      <c r="M646">
        <v>10.6</v>
      </c>
      <c r="N646">
        <v>1699</v>
      </c>
      <c r="O646">
        <v>7906</v>
      </c>
      <c r="P646">
        <v>10.6</v>
      </c>
      <c r="Q646">
        <v>81</v>
      </c>
      <c r="R646">
        <v>14.2</v>
      </c>
      <c r="S646">
        <v>3.5</v>
      </c>
      <c r="T646" t="s">
        <v>58</v>
      </c>
      <c r="U646">
        <v>6852</v>
      </c>
      <c r="V646">
        <v>8</v>
      </c>
      <c r="W646">
        <v>11</v>
      </c>
      <c r="X646">
        <v>406</v>
      </c>
      <c r="Y646">
        <v>23</v>
      </c>
      <c r="Z646" t="s">
        <v>197</v>
      </c>
      <c r="AA646">
        <v>43</v>
      </c>
      <c r="AB646">
        <v>57</v>
      </c>
      <c r="AC646" t="s">
        <v>53</v>
      </c>
      <c r="AD646">
        <v>5107</v>
      </c>
      <c r="AE646">
        <v>1610</v>
      </c>
      <c r="AF646">
        <v>1161.4000000000001</v>
      </c>
      <c r="AG646">
        <v>22</v>
      </c>
      <c r="AH646">
        <v>154</v>
      </c>
      <c r="AI646">
        <v>33.419431818181813</v>
      </c>
      <c r="AJ646">
        <v>25.98</v>
      </c>
      <c r="AK646">
        <v>28.31</v>
      </c>
      <c r="AL646">
        <v>8.91</v>
      </c>
      <c r="AM646">
        <v>1201</v>
      </c>
      <c r="AN646">
        <v>14.3</v>
      </c>
      <c r="AO646">
        <v>12.04</v>
      </c>
      <c r="AP646">
        <v>23</v>
      </c>
      <c r="AQ646">
        <v>8</v>
      </c>
    </row>
    <row r="647" spans="1:43" x14ac:dyDescent="0.3">
      <c r="A647">
        <v>646</v>
      </c>
      <c r="B647" t="s">
        <v>1712</v>
      </c>
      <c r="C647">
        <v>2024</v>
      </c>
      <c r="D647" t="s">
        <v>1617</v>
      </c>
      <c r="E647">
        <v>26</v>
      </c>
      <c r="F647" t="s">
        <v>1139</v>
      </c>
      <c r="G647" t="s">
        <v>870</v>
      </c>
      <c r="H647" t="s">
        <v>493</v>
      </c>
      <c r="I647" t="s">
        <v>1713</v>
      </c>
      <c r="J647" t="s">
        <v>50</v>
      </c>
      <c r="K647">
        <v>6.6</v>
      </c>
      <c r="L647">
        <v>3.8</v>
      </c>
      <c r="M647">
        <v>2.4</v>
      </c>
      <c r="N647">
        <v>33902</v>
      </c>
      <c r="O647">
        <v>61535</v>
      </c>
      <c r="P647">
        <v>2.4</v>
      </c>
      <c r="Q647">
        <v>212</v>
      </c>
      <c r="R647">
        <v>8.1999999999999993</v>
      </c>
      <c r="S647">
        <v>2.7</v>
      </c>
      <c r="T647" t="s">
        <v>71</v>
      </c>
      <c r="U647">
        <v>166653</v>
      </c>
      <c r="V647">
        <v>2</v>
      </c>
      <c r="W647">
        <v>3</v>
      </c>
      <c r="X647">
        <v>5871</v>
      </c>
      <c r="Y647">
        <v>25.2</v>
      </c>
      <c r="Z647" t="s">
        <v>185</v>
      </c>
      <c r="AA647">
        <v>52</v>
      </c>
      <c r="AB647">
        <v>48</v>
      </c>
      <c r="AC647" t="s">
        <v>53</v>
      </c>
      <c r="AD647">
        <v>113971</v>
      </c>
      <c r="AE647">
        <v>58791</v>
      </c>
      <c r="AF647">
        <v>1164.33</v>
      </c>
      <c r="AG647">
        <v>7</v>
      </c>
      <c r="AH647">
        <v>818</v>
      </c>
      <c r="AI647">
        <v>31.523785714285712</v>
      </c>
      <c r="AJ647">
        <v>25.16</v>
      </c>
      <c r="AK647">
        <v>18.14</v>
      </c>
      <c r="AL647">
        <v>5.76</v>
      </c>
      <c r="AM647">
        <v>1201</v>
      </c>
      <c r="AN647">
        <v>14.3</v>
      </c>
      <c r="AO647">
        <v>4.72</v>
      </c>
      <c r="AP647">
        <v>25.2</v>
      </c>
      <c r="AQ647">
        <v>2</v>
      </c>
    </row>
    <row r="648" spans="1:43" x14ac:dyDescent="0.3">
      <c r="A648">
        <v>647</v>
      </c>
      <c r="B648" t="s">
        <v>1714</v>
      </c>
      <c r="C648">
        <v>2024</v>
      </c>
      <c r="D648" t="s">
        <v>1715</v>
      </c>
      <c r="E648">
        <v>17</v>
      </c>
      <c r="F648" t="s">
        <v>1139</v>
      </c>
      <c r="G648" t="s">
        <v>1515</v>
      </c>
      <c r="H648" t="s">
        <v>100</v>
      </c>
      <c r="I648" t="s">
        <v>1716</v>
      </c>
      <c r="J648" t="s">
        <v>50</v>
      </c>
      <c r="K648">
        <v>5</v>
      </c>
      <c r="L648">
        <v>6.7</v>
      </c>
      <c r="M648">
        <v>2.4</v>
      </c>
      <c r="N648">
        <v>13651</v>
      </c>
      <c r="O648">
        <v>26637</v>
      </c>
      <c r="P648">
        <v>2.4</v>
      </c>
      <c r="Q648">
        <v>146</v>
      </c>
      <c r="R648">
        <v>8</v>
      </c>
      <c r="S648">
        <v>3.38</v>
      </c>
      <c r="T648" t="s">
        <v>71</v>
      </c>
      <c r="U648">
        <v>27973</v>
      </c>
      <c r="V648">
        <v>2</v>
      </c>
      <c r="W648">
        <v>3</v>
      </c>
      <c r="X648">
        <v>1380</v>
      </c>
      <c r="Y648">
        <v>27.3</v>
      </c>
      <c r="Z648" t="s">
        <v>82</v>
      </c>
      <c r="AA648">
        <v>58</v>
      </c>
      <c r="AB648">
        <v>42</v>
      </c>
      <c r="AC648" t="s">
        <v>53</v>
      </c>
      <c r="AD648">
        <v>16453</v>
      </c>
      <c r="AE648">
        <v>8050</v>
      </c>
      <c r="AF648">
        <v>943.43</v>
      </c>
      <c r="AG648">
        <v>5</v>
      </c>
      <c r="AH648">
        <v>1156</v>
      </c>
      <c r="AI648">
        <v>26.731999999999999</v>
      </c>
      <c r="AJ648">
        <v>22.8</v>
      </c>
      <c r="AK648">
        <v>17.82</v>
      </c>
      <c r="AL648">
        <v>20.04</v>
      </c>
      <c r="AM648">
        <v>1401</v>
      </c>
      <c r="AN648">
        <v>0</v>
      </c>
      <c r="AO648">
        <v>4.6399999999999997</v>
      </c>
      <c r="AP648">
        <v>27.3</v>
      </c>
      <c r="AQ648">
        <v>2</v>
      </c>
    </row>
    <row r="649" spans="1:43" x14ac:dyDescent="0.3">
      <c r="A649">
        <v>648</v>
      </c>
      <c r="B649" t="s">
        <v>1717</v>
      </c>
      <c r="C649">
        <v>2024</v>
      </c>
      <c r="D649" t="s">
        <v>1715</v>
      </c>
      <c r="E649">
        <v>16</v>
      </c>
      <c r="F649" t="s">
        <v>1139</v>
      </c>
      <c r="G649" t="s">
        <v>811</v>
      </c>
      <c r="H649" t="s">
        <v>100</v>
      </c>
      <c r="I649" t="s">
        <v>1718</v>
      </c>
      <c r="J649" t="s">
        <v>50</v>
      </c>
      <c r="K649">
        <v>4.4000000000000004</v>
      </c>
      <c r="L649">
        <v>2.8</v>
      </c>
      <c r="M649">
        <v>2.5</v>
      </c>
      <c r="N649">
        <v>13921</v>
      </c>
      <c r="O649">
        <v>10499</v>
      </c>
      <c r="P649">
        <v>2.5</v>
      </c>
      <c r="Q649">
        <v>102</v>
      </c>
      <c r="R649">
        <v>5.8</v>
      </c>
      <c r="S649">
        <v>3.72</v>
      </c>
      <c r="T649" t="s">
        <v>58</v>
      </c>
      <c r="U649">
        <v>35424</v>
      </c>
      <c r="V649">
        <v>4</v>
      </c>
      <c r="W649">
        <v>3</v>
      </c>
      <c r="X649">
        <v>1562</v>
      </c>
      <c r="Y649">
        <v>15.4</v>
      </c>
      <c r="Z649" t="s">
        <v>408</v>
      </c>
      <c r="AA649">
        <v>47</v>
      </c>
      <c r="AB649">
        <v>53</v>
      </c>
      <c r="AC649" t="s">
        <v>53</v>
      </c>
      <c r="AD649">
        <v>23483</v>
      </c>
      <c r="AE649">
        <v>10180</v>
      </c>
      <c r="AF649">
        <v>913.31</v>
      </c>
      <c r="AG649">
        <v>10</v>
      </c>
      <c r="AH649">
        <v>382</v>
      </c>
      <c r="AI649">
        <v>34.574950000000001</v>
      </c>
      <c r="AJ649">
        <v>18.27</v>
      </c>
      <c r="AK649">
        <v>15.63</v>
      </c>
      <c r="AL649">
        <v>16.420000000000002</v>
      </c>
      <c r="AM649">
        <v>1401</v>
      </c>
      <c r="AN649">
        <v>0</v>
      </c>
      <c r="AO649">
        <v>3.82</v>
      </c>
      <c r="AP649">
        <v>15.4</v>
      </c>
      <c r="AQ649">
        <v>4</v>
      </c>
    </row>
    <row r="650" spans="1:43" x14ac:dyDescent="0.3">
      <c r="A650">
        <v>649</v>
      </c>
      <c r="B650" t="s">
        <v>1719</v>
      </c>
      <c r="C650">
        <v>2024</v>
      </c>
      <c r="D650" t="s">
        <v>1715</v>
      </c>
      <c r="E650">
        <v>2</v>
      </c>
      <c r="F650" t="s">
        <v>1139</v>
      </c>
      <c r="G650" t="s">
        <v>1344</v>
      </c>
      <c r="H650" t="s">
        <v>100</v>
      </c>
      <c r="I650" t="s">
        <v>1720</v>
      </c>
      <c r="J650" t="s">
        <v>50</v>
      </c>
      <c r="K650">
        <v>6.3</v>
      </c>
      <c r="L650">
        <v>4.2</v>
      </c>
      <c r="M650">
        <v>54.4</v>
      </c>
      <c r="N650">
        <v>2920</v>
      </c>
      <c r="O650">
        <v>109331</v>
      </c>
      <c r="P650">
        <v>53.384473720000003</v>
      </c>
      <c r="Q650">
        <v>313</v>
      </c>
      <c r="R650">
        <v>30.8</v>
      </c>
      <c r="S650">
        <v>1.43</v>
      </c>
      <c r="T650" t="s">
        <v>96</v>
      </c>
      <c r="U650">
        <v>19873</v>
      </c>
      <c r="V650">
        <v>2</v>
      </c>
      <c r="W650">
        <v>3</v>
      </c>
      <c r="X650">
        <v>2048</v>
      </c>
      <c r="Y650">
        <v>15</v>
      </c>
      <c r="Z650" t="s">
        <v>1721</v>
      </c>
      <c r="AA650">
        <v>24</v>
      </c>
      <c r="AB650">
        <v>76</v>
      </c>
      <c r="AC650" t="s">
        <v>53</v>
      </c>
      <c r="AD650">
        <v>13892</v>
      </c>
      <c r="AE650">
        <v>3405</v>
      </c>
      <c r="AF650">
        <v>1189</v>
      </c>
      <c r="AG650">
        <v>2</v>
      </c>
      <c r="AH650">
        <v>1515</v>
      </c>
      <c r="AI650">
        <v>20.734500000000001</v>
      </c>
      <c r="AJ650">
        <v>15.2</v>
      </c>
      <c r="AK650">
        <v>26</v>
      </c>
      <c r="AL650">
        <v>4.33</v>
      </c>
      <c r="AM650">
        <v>1401</v>
      </c>
      <c r="AN650">
        <v>0</v>
      </c>
      <c r="AO650">
        <v>44.96</v>
      </c>
      <c r="AP650">
        <v>15</v>
      </c>
      <c r="AQ650">
        <v>2</v>
      </c>
    </row>
    <row r="651" spans="1:43" x14ac:dyDescent="0.3">
      <c r="A651">
        <v>650</v>
      </c>
      <c r="B651" t="s">
        <v>1722</v>
      </c>
      <c r="C651">
        <v>2024</v>
      </c>
      <c r="D651" t="s">
        <v>1715</v>
      </c>
      <c r="E651">
        <v>88</v>
      </c>
      <c r="F651" t="s">
        <v>1139</v>
      </c>
      <c r="G651" t="s">
        <v>286</v>
      </c>
      <c r="H651" t="s">
        <v>48</v>
      </c>
      <c r="I651" t="s">
        <v>1723</v>
      </c>
      <c r="J651" t="s">
        <v>50</v>
      </c>
      <c r="K651">
        <v>3.6</v>
      </c>
      <c r="L651">
        <v>1.6</v>
      </c>
      <c r="M651">
        <v>1.4</v>
      </c>
      <c r="N651">
        <v>1912</v>
      </c>
      <c r="O651">
        <v>18722</v>
      </c>
      <c r="P651">
        <v>1.4</v>
      </c>
      <c r="Q651">
        <v>143</v>
      </c>
      <c r="R651">
        <v>14</v>
      </c>
      <c r="S651">
        <v>1.36</v>
      </c>
      <c r="T651" t="s">
        <v>77</v>
      </c>
      <c r="U651">
        <v>13496</v>
      </c>
      <c r="V651">
        <v>4</v>
      </c>
      <c r="W651">
        <v>5</v>
      </c>
      <c r="X651">
        <v>1072</v>
      </c>
      <c r="Y651">
        <v>14.2</v>
      </c>
      <c r="Z651" t="s">
        <v>859</v>
      </c>
      <c r="AA651">
        <v>66</v>
      </c>
      <c r="AB651">
        <v>34</v>
      </c>
      <c r="AC651" t="s">
        <v>53</v>
      </c>
      <c r="AD651">
        <v>9626</v>
      </c>
      <c r="AE651">
        <v>3349</v>
      </c>
      <c r="AF651">
        <v>1470.93</v>
      </c>
      <c r="AG651">
        <v>24</v>
      </c>
      <c r="AH651">
        <v>95</v>
      </c>
      <c r="AI651">
        <v>29.87127083333333</v>
      </c>
      <c r="AJ651">
        <v>18.23</v>
      </c>
      <c r="AK651">
        <v>14.05</v>
      </c>
      <c r="AL651">
        <v>16.72</v>
      </c>
      <c r="AM651">
        <v>1401</v>
      </c>
      <c r="AN651">
        <v>0</v>
      </c>
      <c r="AO651">
        <v>6.44</v>
      </c>
      <c r="AP651">
        <v>14.2</v>
      </c>
      <c r="AQ651">
        <v>4</v>
      </c>
    </row>
    <row r="652" spans="1:43" x14ac:dyDescent="0.3">
      <c r="A652">
        <v>651</v>
      </c>
      <c r="B652" t="s">
        <v>1724</v>
      </c>
      <c r="C652">
        <v>2024</v>
      </c>
      <c r="D652" t="s">
        <v>1715</v>
      </c>
      <c r="E652">
        <v>18</v>
      </c>
      <c r="F652" t="s">
        <v>1139</v>
      </c>
      <c r="G652" t="s">
        <v>1235</v>
      </c>
      <c r="H652" t="s">
        <v>100</v>
      </c>
      <c r="I652" t="s">
        <v>1725</v>
      </c>
      <c r="J652" t="s">
        <v>50</v>
      </c>
      <c r="K652">
        <v>5.9</v>
      </c>
      <c r="L652">
        <v>5.3</v>
      </c>
      <c r="M652">
        <v>8.6</v>
      </c>
      <c r="N652">
        <v>2302</v>
      </c>
      <c r="O652">
        <v>6767</v>
      </c>
      <c r="P652">
        <v>9.6944447159999996</v>
      </c>
      <c r="Q652">
        <v>96</v>
      </c>
      <c r="R652">
        <v>8.6</v>
      </c>
      <c r="S652">
        <v>3.3</v>
      </c>
      <c r="T652" t="s">
        <v>77</v>
      </c>
      <c r="U652">
        <v>6997</v>
      </c>
      <c r="V652">
        <v>0</v>
      </c>
      <c r="W652">
        <v>0</v>
      </c>
      <c r="X652">
        <v>698</v>
      </c>
      <c r="Y652">
        <v>13.9</v>
      </c>
      <c r="Z652" t="s">
        <v>510</v>
      </c>
      <c r="AA652">
        <v>45</v>
      </c>
      <c r="AB652">
        <v>55</v>
      </c>
      <c r="AC652" t="s">
        <v>53</v>
      </c>
      <c r="AD652">
        <v>6647</v>
      </c>
      <c r="AE652">
        <v>1484</v>
      </c>
      <c r="AF652">
        <v>1222.8800000000001</v>
      </c>
      <c r="AG652">
        <v>7</v>
      </c>
      <c r="AH652">
        <v>855</v>
      </c>
      <c r="AI652">
        <v>30.616428571428571</v>
      </c>
      <c r="AJ652">
        <v>19.73</v>
      </c>
      <c r="AK652">
        <v>18.03</v>
      </c>
      <c r="AL652">
        <v>4.42</v>
      </c>
      <c r="AM652">
        <v>1401</v>
      </c>
      <c r="AN652">
        <v>0</v>
      </c>
      <c r="AO652">
        <v>8.6</v>
      </c>
      <c r="AP652">
        <v>13.9</v>
      </c>
      <c r="AQ652">
        <v>0</v>
      </c>
    </row>
    <row r="653" spans="1:43" x14ac:dyDescent="0.3">
      <c r="A653">
        <v>652</v>
      </c>
      <c r="B653" t="s">
        <v>1726</v>
      </c>
      <c r="C653">
        <v>2024</v>
      </c>
      <c r="D653" t="s">
        <v>1715</v>
      </c>
      <c r="E653">
        <v>3</v>
      </c>
      <c r="F653" t="s">
        <v>1139</v>
      </c>
      <c r="G653" t="s">
        <v>1476</v>
      </c>
      <c r="H653" t="s">
        <v>493</v>
      </c>
      <c r="I653" t="s">
        <v>1727</v>
      </c>
      <c r="J653" t="s">
        <v>65</v>
      </c>
      <c r="K653">
        <v>5.9</v>
      </c>
      <c r="L653">
        <v>7.6</v>
      </c>
      <c r="M653">
        <v>3.9</v>
      </c>
      <c r="N653">
        <v>15377</v>
      </c>
      <c r="O653">
        <v>11977</v>
      </c>
      <c r="P653">
        <v>1.9978494570000001</v>
      </c>
      <c r="Q653">
        <v>126</v>
      </c>
      <c r="R653">
        <v>7</v>
      </c>
      <c r="S653">
        <v>2.56</v>
      </c>
      <c r="T653" t="s">
        <v>96</v>
      </c>
      <c r="U653">
        <v>71529</v>
      </c>
      <c r="V653">
        <v>1</v>
      </c>
      <c r="W653">
        <v>1</v>
      </c>
      <c r="X653">
        <v>5995</v>
      </c>
      <c r="Y653">
        <v>60.8</v>
      </c>
      <c r="Z653" t="s">
        <v>852</v>
      </c>
      <c r="AA653">
        <v>39</v>
      </c>
      <c r="AB653">
        <v>61</v>
      </c>
      <c r="AC653" t="s">
        <v>53</v>
      </c>
      <c r="AD653">
        <v>58804</v>
      </c>
      <c r="AE653">
        <v>18034</v>
      </c>
      <c r="AF653">
        <v>1201.25</v>
      </c>
      <c r="AG653">
        <v>2</v>
      </c>
      <c r="AH653">
        <v>1048</v>
      </c>
      <c r="AI653">
        <v>30.1295</v>
      </c>
      <c r="AJ653">
        <v>19.71</v>
      </c>
      <c r="AK653">
        <v>18.72</v>
      </c>
      <c r="AL653">
        <v>0.5</v>
      </c>
      <c r="AM653">
        <v>1401</v>
      </c>
      <c r="AN653">
        <v>0</v>
      </c>
      <c r="AO653">
        <v>5.14</v>
      </c>
      <c r="AP653">
        <v>60.8</v>
      </c>
      <c r="AQ653">
        <v>1</v>
      </c>
    </row>
    <row r="654" spans="1:43" x14ac:dyDescent="0.3">
      <c r="A654">
        <v>653</v>
      </c>
      <c r="B654" t="s">
        <v>1728</v>
      </c>
      <c r="C654">
        <v>2024</v>
      </c>
      <c r="D654" t="s">
        <v>1715</v>
      </c>
      <c r="E654">
        <v>80</v>
      </c>
      <c r="F654" t="s">
        <v>1139</v>
      </c>
      <c r="G654" t="s">
        <v>286</v>
      </c>
      <c r="H654" t="s">
        <v>48</v>
      </c>
      <c r="I654" t="s">
        <v>287</v>
      </c>
      <c r="J654" t="s">
        <v>50</v>
      </c>
      <c r="K654">
        <v>5.2</v>
      </c>
      <c r="L654">
        <v>4.9000000000000004</v>
      </c>
      <c r="M654">
        <v>1.4</v>
      </c>
      <c r="N654">
        <v>8296</v>
      </c>
      <c r="O654">
        <v>20542</v>
      </c>
      <c r="P654">
        <v>1.4</v>
      </c>
      <c r="Q654">
        <v>142</v>
      </c>
      <c r="R654">
        <v>11.3</v>
      </c>
      <c r="S654">
        <v>3.31</v>
      </c>
      <c r="T654" t="s">
        <v>96</v>
      </c>
      <c r="U654">
        <v>26765</v>
      </c>
      <c r="V654">
        <v>5</v>
      </c>
      <c r="W654">
        <v>6</v>
      </c>
      <c r="X654">
        <v>1573</v>
      </c>
      <c r="Y654">
        <v>21.5</v>
      </c>
      <c r="Z654" t="s">
        <v>797</v>
      </c>
      <c r="AA654">
        <v>25</v>
      </c>
      <c r="AB654">
        <v>75</v>
      </c>
      <c r="AC654" t="s">
        <v>53</v>
      </c>
      <c r="AD654">
        <v>17823</v>
      </c>
      <c r="AE654">
        <v>12050</v>
      </c>
      <c r="AF654">
        <v>1470.93</v>
      </c>
      <c r="AG654">
        <v>24</v>
      </c>
      <c r="AH654">
        <v>95</v>
      </c>
      <c r="AI654">
        <v>29.87127083333333</v>
      </c>
      <c r="AJ654">
        <v>18.23</v>
      </c>
      <c r="AK654">
        <v>14.05</v>
      </c>
      <c r="AL654">
        <v>16.72</v>
      </c>
      <c r="AM654">
        <v>1401</v>
      </c>
      <c r="AN654">
        <v>0</v>
      </c>
      <c r="AO654">
        <v>5.36</v>
      </c>
      <c r="AP654">
        <v>21.5</v>
      </c>
      <c r="AQ654">
        <v>5</v>
      </c>
    </row>
    <row r="655" spans="1:43" x14ac:dyDescent="0.3">
      <c r="A655">
        <v>654</v>
      </c>
      <c r="B655" t="s">
        <v>1729</v>
      </c>
      <c r="C655">
        <v>2024</v>
      </c>
      <c r="D655" t="s">
        <v>1715</v>
      </c>
      <c r="E655">
        <v>32</v>
      </c>
      <c r="F655" t="s">
        <v>1139</v>
      </c>
      <c r="G655" t="s">
        <v>1679</v>
      </c>
      <c r="H655" t="s">
        <v>1210</v>
      </c>
      <c r="I655" t="s">
        <v>1730</v>
      </c>
      <c r="J655" t="s">
        <v>65</v>
      </c>
      <c r="K655">
        <v>4.3</v>
      </c>
      <c r="L655">
        <v>2.7</v>
      </c>
      <c r="M655">
        <v>4.2</v>
      </c>
      <c r="N655">
        <v>2908</v>
      </c>
      <c r="O655">
        <v>20475</v>
      </c>
      <c r="P655">
        <v>4.2</v>
      </c>
      <c r="Q655">
        <v>148</v>
      </c>
      <c r="R655">
        <v>29.3</v>
      </c>
      <c r="S655">
        <v>3.1</v>
      </c>
      <c r="T655" t="s">
        <v>77</v>
      </c>
      <c r="U655">
        <v>11476</v>
      </c>
      <c r="V655">
        <v>1</v>
      </c>
      <c r="W655">
        <v>1</v>
      </c>
      <c r="X655">
        <v>758</v>
      </c>
      <c r="Y655">
        <v>13</v>
      </c>
      <c r="Z655" t="s">
        <v>116</v>
      </c>
      <c r="AA655">
        <v>54</v>
      </c>
      <c r="AB655">
        <v>46</v>
      </c>
      <c r="AC655" t="s">
        <v>53</v>
      </c>
      <c r="AD655">
        <v>7760</v>
      </c>
      <c r="AE655">
        <v>3846</v>
      </c>
      <c r="AF655">
        <v>1458.35</v>
      </c>
      <c r="AG655">
        <v>5</v>
      </c>
      <c r="AH655">
        <v>1338</v>
      </c>
      <c r="AI655">
        <v>22.9358</v>
      </c>
      <c r="AJ655">
        <v>25.22</v>
      </c>
      <c r="AK655">
        <v>19.510000000000002</v>
      </c>
      <c r="AL655">
        <v>6.34</v>
      </c>
      <c r="AM655">
        <v>1401</v>
      </c>
      <c r="AN655">
        <v>0</v>
      </c>
      <c r="AO655">
        <v>14.24</v>
      </c>
      <c r="AP655">
        <v>13</v>
      </c>
      <c r="AQ655">
        <v>1</v>
      </c>
    </row>
    <row r="656" spans="1:43" x14ac:dyDescent="0.3">
      <c r="A656">
        <v>655</v>
      </c>
      <c r="B656" t="s">
        <v>1731</v>
      </c>
      <c r="C656">
        <v>2024</v>
      </c>
      <c r="D656" t="s">
        <v>1715</v>
      </c>
      <c r="E656">
        <v>24</v>
      </c>
      <c r="F656" t="s">
        <v>1139</v>
      </c>
      <c r="G656" t="s">
        <v>811</v>
      </c>
      <c r="H656" t="s">
        <v>100</v>
      </c>
      <c r="I656" t="s">
        <v>1732</v>
      </c>
      <c r="J656" t="s">
        <v>50</v>
      </c>
      <c r="K656">
        <v>3.7</v>
      </c>
      <c r="L656">
        <v>3</v>
      </c>
      <c r="M656">
        <v>3.1</v>
      </c>
      <c r="N656">
        <v>19342</v>
      </c>
      <c r="O656">
        <v>39739</v>
      </c>
      <c r="P656">
        <v>3.1</v>
      </c>
      <c r="Q656">
        <v>206</v>
      </c>
      <c r="R656">
        <v>6.2</v>
      </c>
      <c r="S656">
        <v>2.3199999999999998</v>
      </c>
      <c r="T656" t="s">
        <v>77</v>
      </c>
      <c r="U656">
        <v>42601</v>
      </c>
      <c r="V656">
        <v>7</v>
      </c>
      <c r="W656">
        <v>9</v>
      </c>
      <c r="X656">
        <v>1580</v>
      </c>
      <c r="Y656">
        <v>26.6</v>
      </c>
      <c r="Z656" t="s">
        <v>66</v>
      </c>
      <c r="AA656">
        <v>52</v>
      </c>
      <c r="AB656">
        <v>48</v>
      </c>
      <c r="AC656" t="s">
        <v>53</v>
      </c>
      <c r="AD656">
        <v>29946</v>
      </c>
      <c r="AE656">
        <v>11669</v>
      </c>
      <c r="AF656">
        <v>913.31</v>
      </c>
      <c r="AG656">
        <v>10</v>
      </c>
      <c r="AH656">
        <v>382</v>
      </c>
      <c r="AI656">
        <v>34.574950000000001</v>
      </c>
      <c r="AJ656">
        <v>18.27</v>
      </c>
      <c r="AK656">
        <v>15.63</v>
      </c>
      <c r="AL656">
        <v>16.420000000000002</v>
      </c>
      <c r="AM656">
        <v>1401</v>
      </c>
      <c r="AN656">
        <v>0</v>
      </c>
      <c r="AO656">
        <v>4.34</v>
      </c>
      <c r="AP656">
        <v>26.6</v>
      </c>
      <c r="AQ656">
        <v>7</v>
      </c>
    </row>
    <row r="657" spans="1:43" x14ac:dyDescent="0.3">
      <c r="A657">
        <v>656</v>
      </c>
      <c r="B657" t="s">
        <v>1733</v>
      </c>
      <c r="C657">
        <v>2024</v>
      </c>
      <c r="D657" t="s">
        <v>1715</v>
      </c>
      <c r="E657">
        <v>10</v>
      </c>
      <c r="F657" t="s">
        <v>1139</v>
      </c>
      <c r="G657" t="s">
        <v>1235</v>
      </c>
      <c r="H657" t="s">
        <v>100</v>
      </c>
      <c r="I657" t="s">
        <v>1734</v>
      </c>
      <c r="J657" t="s">
        <v>50</v>
      </c>
      <c r="K657">
        <v>6.8</v>
      </c>
      <c r="L657">
        <v>8.9</v>
      </c>
      <c r="M657">
        <v>5.3</v>
      </c>
      <c r="N657">
        <v>3987</v>
      </c>
      <c r="O657">
        <v>3732</v>
      </c>
      <c r="P657">
        <v>3.2765549950000001</v>
      </c>
      <c r="Q657">
        <v>52</v>
      </c>
      <c r="R657">
        <v>6.4</v>
      </c>
      <c r="S657">
        <v>3.5</v>
      </c>
      <c r="T657" t="s">
        <v>77</v>
      </c>
      <c r="U657">
        <v>9585</v>
      </c>
      <c r="V657">
        <v>0</v>
      </c>
      <c r="W657">
        <v>28.513498089999999</v>
      </c>
      <c r="X657">
        <v>1139</v>
      </c>
      <c r="Y657">
        <v>17.8</v>
      </c>
      <c r="Z657" t="s">
        <v>182</v>
      </c>
      <c r="AA657">
        <v>49.669886759999997</v>
      </c>
      <c r="AB657">
        <v>50.330113240000003</v>
      </c>
      <c r="AC657" t="s">
        <v>53</v>
      </c>
      <c r="AD657">
        <v>7474</v>
      </c>
      <c r="AE657">
        <v>2860</v>
      </c>
      <c r="AF657">
        <v>1166.3499999999999</v>
      </c>
      <c r="AG657">
        <v>7</v>
      </c>
      <c r="AH657">
        <v>855</v>
      </c>
      <c r="AI657">
        <v>30.616428571428571</v>
      </c>
      <c r="AJ657">
        <v>18.170000000000002</v>
      </c>
      <c r="AK657">
        <v>14.56</v>
      </c>
      <c r="AL657">
        <v>6.28</v>
      </c>
      <c r="AM657">
        <v>1401</v>
      </c>
      <c r="AN657">
        <v>0</v>
      </c>
      <c r="AO657">
        <v>5.74</v>
      </c>
      <c r="AP657">
        <v>17.8</v>
      </c>
      <c r="AQ657">
        <v>0</v>
      </c>
    </row>
    <row r="658" spans="1:43" x14ac:dyDescent="0.3">
      <c r="A658">
        <v>657</v>
      </c>
      <c r="B658" t="s">
        <v>1735</v>
      </c>
      <c r="C658">
        <v>2024</v>
      </c>
      <c r="D658" t="s">
        <v>1715</v>
      </c>
      <c r="E658">
        <v>28</v>
      </c>
      <c r="F658" t="s">
        <v>1139</v>
      </c>
      <c r="G658" t="s">
        <v>706</v>
      </c>
      <c r="H658" t="s">
        <v>100</v>
      </c>
      <c r="I658" t="s">
        <v>706</v>
      </c>
      <c r="J658" t="s">
        <v>50</v>
      </c>
      <c r="K658">
        <v>5.3</v>
      </c>
      <c r="L658">
        <v>2.2999999999999998</v>
      </c>
      <c r="M658">
        <v>1.7</v>
      </c>
      <c r="N658">
        <v>11478</v>
      </c>
      <c r="O658">
        <v>51741</v>
      </c>
      <c r="P658">
        <v>1.7</v>
      </c>
      <c r="Q658">
        <v>230</v>
      </c>
      <c r="R658">
        <v>25</v>
      </c>
      <c r="S658">
        <v>4.07</v>
      </c>
      <c r="T658" t="s">
        <v>71</v>
      </c>
      <c r="U658">
        <v>33358</v>
      </c>
      <c r="V658">
        <v>4</v>
      </c>
      <c r="W658">
        <v>4</v>
      </c>
      <c r="X658">
        <v>2820</v>
      </c>
      <c r="Y658">
        <v>30.5</v>
      </c>
      <c r="Z658" t="s">
        <v>146</v>
      </c>
      <c r="AA658">
        <v>55</v>
      </c>
      <c r="AB658">
        <v>45</v>
      </c>
      <c r="AC658" t="s">
        <v>53</v>
      </c>
      <c r="AD658">
        <v>32030</v>
      </c>
      <c r="AE658">
        <v>5171</v>
      </c>
      <c r="AF658">
        <v>1323.15</v>
      </c>
      <c r="AG658">
        <v>11</v>
      </c>
      <c r="AH658">
        <v>1332</v>
      </c>
      <c r="AI658">
        <v>21.125681818181821</v>
      </c>
      <c r="AJ658">
        <v>23.15</v>
      </c>
      <c r="AK658">
        <v>10.65</v>
      </c>
      <c r="AL658">
        <v>6.33</v>
      </c>
      <c r="AM658">
        <v>1401</v>
      </c>
      <c r="AN658">
        <v>0</v>
      </c>
      <c r="AO658">
        <v>11.02</v>
      </c>
      <c r="AP658">
        <v>30.5</v>
      </c>
      <c r="AQ658">
        <v>4</v>
      </c>
    </row>
    <row r="659" spans="1:43" x14ac:dyDescent="0.3">
      <c r="A659">
        <v>658</v>
      </c>
      <c r="B659" t="s">
        <v>1736</v>
      </c>
      <c r="C659">
        <v>2024</v>
      </c>
      <c r="D659" t="s">
        <v>1715</v>
      </c>
      <c r="E659">
        <v>14</v>
      </c>
      <c r="F659" t="s">
        <v>1139</v>
      </c>
      <c r="G659" t="s">
        <v>834</v>
      </c>
      <c r="H659" t="s">
        <v>48</v>
      </c>
      <c r="I659" t="s">
        <v>1737</v>
      </c>
      <c r="J659" t="s">
        <v>50</v>
      </c>
      <c r="K659">
        <v>5.9</v>
      </c>
      <c r="L659">
        <v>5.4</v>
      </c>
      <c r="M659">
        <v>21.19127795</v>
      </c>
      <c r="N659">
        <v>919</v>
      </c>
      <c r="O659">
        <v>7816</v>
      </c>
      <c r="P659">
        <v>19.062527930000002</v>
      </c>
      <c r="Q659">
        <v>95</v>
      </c>
      <c r="R659">
        <v>23.8</v>
      </c>
      <c r="S659">
        <v>2.2400000000000002</v>
      </c>
      <c r="T659" t="s">
        <v>77</v>
      </c>
      <c r="U659">
        <v>6935</v>
      </c>
      <c r="V659">
        <v>4</v>
      </c>
      <c r="W659">
        <v>5</v>
      </c>
      <c r="X659">
        <v>410</v>
      </c>
      <c r="Y659">
        <v>33.200000000000003</v>
      </c>
      <c r="Z659" t="s">
        <v>152</v>
      </c>
      <c r="AA659">
        <v>29</v>
      </c>
      <c r="AB659">
        <v>71</v>
      </c>
      <c r="AC659" t="s">
        <v>53</v>
      </c>
      <c r="AD659">
        <v>4733</v>
      </c>
      <c r="AE659">
        <v>2347</v>
      </c>
      <c r="AF659">
        <v>1152.18</v>
      </c>
      <c r="AG659">
        <v>8</v>
      </c>
      <c r="AH659">
        <v>521</v>
      </c>
      <c r="AI659">
        <v>35.509249999999987</v>
      </c>
      <c r="AJ659">
        <v>26.59</v>
      </c>
      <c r="AK659">
        <v>34.58</v>
      </c>
      <c r="AL659">
        <v>5.27</v>
      </c>
      <c r="AM659">
        <v>1401</v>
      </c>
      <c r="AN659">
        <v>0</v>
      </c>
      <c r="AO659">
        <v>22.23</v>
      </c>
      <c r="AP659">
        <v>33.200000000000003</v>
      </c>
      <c r="AQ659">
        <v>4</v>
      </c>
    </row>
    <row r="660" spans="1:43" x14ac:dyDescent="0.3">
      <c r="A660">
        <v>659</v>
      </c>
      <c r="B660" t="s">
        <v>1738</v>
      </c>
      <c r="C660">
        <v>2024</v>
      </c>
      <c r="D660" t="s">
        <v>1715</v>
      </c>
      <c r="E660">
        <v>28</v>
      </c>
      <c r="F660" t="s">
        <v>1139</v>
      </c>
      <c r="G660" t="s">
        <v>1739</v>
      </c>
      <c r="H660" t="s">
        <v>1210</v>
      </c>
      <c r="I660" t="s">
        <v>1739</v>
      </c>
      <c r="J660" t="s">
        <v>65</v>
      </c>
      <c r="K660">
        <v>5.5</v>
      </c>
      <c r="L660">
        <v>2.2000000000000002</v>
      </c>
      <c r="M660">
        <v>2.9</v>
      </c>
      <c r="N660">
        <v>1002</v>
      </c>
      <c r="O660">
        <v>19934</v>
      </c>
      <c r="P660">
        <v>2.9</v>
      </c>
      <c r="Q660">
        <v>131</v>
      </c>
      <c r="R660">
        <v>7</v>
      </c>
      <c r="S660">
        <v>0.42</v>
      </c>
      <c r="T660" t="s">
        <v>71</v>
      </c>
      <c r="U660">
        <v>30336</v>
      </c>
      <c r="V660">
        <v>1</v>
      </c>
      <c r="W660">
        <v>1</v>
      </c>
      <c r="X660">
        <v>1570</v>
      </c>
      <c r="Y660">
        <v>25.5</v>
      </c>
      <c r="Z660" t="s">
        <v>741</v>
      </c>
      <c r="AA660">
        <v>64</v>
      </c>
      <c r="AB660">
        <v>36</v>
      </c>
      <c r="AC660" t="s">
        <v>53</v>
      </c>
      <c r="AD660">
        <v>21447</v>
      </c>
      <c r="AE660">
        <v>8963</v>
      </c>
      <c r="AF660">
        <v>1388.78</v>
      </c>
      <c r="AG660">
        <v>1</v>
      </c>
      <c r="AH660">
        <v>1194</v>
      </c>
      <c r="AI660">
        <v>28.374500000000001</v>
      </c>
      <c r="AJ660">
        <v>24.89</v>
      </c>
      <c r="AK660">
        <v>17.440000000000001</v>
      </c>
      <c r="AL660">
        <v>9.3800000000000008</v>
      </c>
      <c r="AM660">
        <v>1401</v>
      </c>
      <c r="AN660">
        <v>0</v>
      </c>
      <c r="AO660">
        <v>4.54</v>
      </c>
      <c r="AP660">
        <v>25.5</v>
      </c>
      <c r="AQ660">
        <v>1</v>
      </c>
    </row>
    <row r="661" spans="1:43" x14ac:dyDescent="0.3">
      <c r="A661">
        <v>660</v>
      </c>
      <c r="B661" t="s">
        <v>1740</v>
      </c>
      <c r="C661">
        <v>2024</v>
      </c>
      <c r="D661" t="s">
        <v>1715</v>
      </c>
      <c r="E661">
        <v>57</v>
      </c>
      <c r="F661" t="s">
        <v>1139</v>
      </c>
      <c r="G661" t="s">
        <v>1679</v>
      </c>
      <c r="H661" t="s">
        <v>1316</v>
      </c>
      <c r="I661" t="s">
        <v>1679</v>
      </c>
      <c r="J661" t="s">
        <v>50</v>
      </c>
      <c r="K661">
        <v>3.9</v>
      </c>
      <c r="L661">
        <v>1.3</v>
      </c>
      <c r="M661">
        <v>1.6</v>
      </c>
      <c r="N661">
        <v>1544</v>
      </c>
      <c r="O661">
        <v>15872</v>
      </c>
      <c r="P661">
        <v>1.6</v>
      </c>
      <c r="Q661">
        <v>139</v>
      </c>
      <c r="R661">
        <v>20.399999999999999</v>
      </c>
      <c r="S661">
        <v>2.11</v>
      </c>
      <c r="T661" t="s">
        <v>58</v>
      </c>
      <c r="U661">
        <v>12417</v>
      </c>
      <c r="V661">
        <v>1</v>
      </c>
      <c r="W661">
        <v>1</v>
      </c>
      <c r="X661">
        <v>732</v>
      </c>
      <c r="Y661">
        <v>11.5</v>
      </c>
      <c r="Z661" t="s">
        <v>87</v>
      </c>
      <c r="AA661">
        <v>55</v>
      </c>
      <c r="AB661">
        <v>45</v>
      </c>
      <c r="AC661" t="s">
        <v>53</v>
      </c>
      <c r="AD661">
        <v>8907</v>
      </c>
      <c r="AE661">
        <v>2831</v>
      </c>
      <c r="AF661">
        <v>1458.35</v>
      </c>
      <c r="AG661">
        <v>5</v>
      </c>
      <c r="AH661">
        <v>1338</v>
      </c>
      <c r="AI661">
        <v>22.9358</v>
      </c>
      <c r="AJ661">
        <v>25.22</v>
      </c>
      <c r="AK661">
        <v>19.510000000000002</v>
      </c>
      <c r="AL661">
        <v>6.34</v>
      </c>
      <c r="AM661">
        <v>1401</v>
      </c>
      <c r="AN661">
        <v>0</v>
      </c>
      <c r="AO661">
        <v>9.1199999999999992</v>
      </c>
      <c r="AP661">
        <v>11.5</v>
      </c>
      <c r="AQ661">
        <v>1</v>
      </c>
    </row>
    <row r="662" spans="1:43" x14ac:dyDescent="0.3">
      <c r="A662">
        <v>661</v>
      </c>
      <c r="B662" t="s">
        <v>1741</v>
      </c>
      <c r="C662">
        <v>2024</v>
      </c>
      <c r="D662" t="s">
        <v>1715</v>
      </c>
      <c r="E662">
        <v>31</v>
      </c>
      <c r="F662" t="s">
        <v>1139</v>
      </c>
      <c r="G662" t="s">
        <v>706</v>
      </c>
      <c r="H662" t="s">
        <v>100</v>
      </c>
      <c r="I662" t="s">
        <v>1742</v>
      </c>
      <c r="J662" t="s">
        <v>50</v>
      </c>
      <c r="K662">
        <v>6.9</v>
      </c>
      <c r="L662">
        <v>3.9</v>
      </c>
      <c r="M662">
        <v>1.4</v>
      </c>
      <c r="N662">
        <v>1038</v>
      </c>
      <c r="O662">
        <v>3336</v>
      </c>
      <c r="P662">
        <v>1.4</v>
      </c>
      <c r="Q662">
        <v>53</v>
      </c>
      <c r="R662">
        <v>7.4</v>
      </c>
      <c r="S662">
        <v>0.56999999999999995</v>
      </c>
      <c r="T662" t="s">
        <v>71</v>
      </c>
      <c r="U662">
        <v>32695</v>
      </c>
      <c r="V662">
        <v>1</v>
      </c>
      <c r="W662">
        <v>2</v>
      </c>
      <c r="X662">
        <v>1364</v>
      </c>
      <c r="Y662">
        <v>22</v>
      </c>
      <c r="Z662" t="s">
        <v>110</v>
      </c>
      <c r="AA662">
        <v>60</v>
      </c>
      <c r="AB662">
        <v>40</v>
      </c>
      <c r="AC662" t="s">
        <v>53</v>
      </c>
      <c r="AD662">
        <v>24063</v>
      </c>
      <c r="AE662">
        <v>10346</v>
      </c>
      <c r="AF662">
        <v>1323.15</v>
      </c>
      <c r="AG662">
        <v>11</v>
      </c>
      <c r="AH662">
        <v>1332</v>
      </c>
      <c r="AI662">
        <v>21.125681818181821</v>
      </c>
      <c r="AJ662">
        <v>23.15</v>
      </c>
      <c r="AK662">
        <v>10.65</v>
      </c>
      <c r="AL662">
        <v>6.33</v>
      </c>
      <c r="AM662">
        <v>1401</v>
      </c>
      <c r="AN662">
        <v>0</v>
      </c>
      <c r="AO662">
        <v>3.8</v>
      </c>
      <c r="AP662">
        <v>22</v>
      </c>
      <c r="AQ662">
        <v>1</v>
      </c>
    </row>
    <row r="663" spans="1:43" x14ac:dyDescent="0.3">
      <c r="A663">
        <v>662</v>
      </c>
      <c r="B663" t="s">
        <v>1743</v>
      </c>
      <c r="C663">
        <v>2024</v>
      </c>
      <c r="D663" t="s">
        <v>1715</v>
      </c>
      <c r="E663">
        <v>25</v>
      </c>
      <c r="F663" t="s">
        <v>1139</v>
      </c>
      <c r="G663" t="s">
        <v>1405</v>
      </c>
      <c r="H663" t="s">
        <v>48</v>
      </c>
      <c r="I663" t="s">
        <v>1405</v>
      </c>
      <c r="J663" t="s">
        <v>50</v>
      </c>
      <c r="K663">
        <v>4.0999999999999996</v>
      </c>
      <c r="L663">
        <v>2</v>
      </c>
      <c r="M663">
        <v>2</v>
      </c>
      <c r="N663">
        <v>2118</v>
      </c>
      <c r="O663">
        <v>25946</v>
      </c>
      <c r="P663">
        <v>2</v>
      </c>
      <c r="Q663">
        <v>155</v>
      </c>
      <c r="R663">
        <v>23.2</v>
      </c>
      <c r="S663">
        <v>1.71</v>
      </c>
      <c r="T663" t="s">
        <v>51</v>
      </c>
      <c r="U663">
        <v>16907</v>
      </c>
      <c r="V663">
        <v>4</v>
      </c>
      <c r="W663">
        <v>4</v>
      </c>
      <c r="X663">
        <v>1235</v>
      </c>
      <c r="Y663">
        <v>20.9</v>
      </c>
      <c r="Z663" t="s">
        <v>133</v>
      </c>
      <c r="AA663">
        <v>52</v>
      </c>
      <c r="AB663">
        <v>48</v>
      </c>
      <c r="AC663" t="s">
        <v>53</v>
      </c>
      <c r="AD663">
        <v>11037</v>
      </c>
      <c r="AE663">
        <v>5547</v>
      </c>
      <c r="AF663">
        <v>1450.67</v>
      </c>
      <c r="AG663">
        <v>6</v>
      </c>
      <c r="AH663">
        <v>1139</v>
      </c>
      <c r="AI663">
        <v>23.058583333333331</v>
      </c>
      <c r="AJ663">
        <v>20.260000000000002</v>
      </c>
      <c r="AK663">
        <v>20.5</v>
      </c>
      <c r="AL663">
        <v>13.13</v>
      </c>
      <c r="AM663">
        <v>1401</v>
      </c>
      <c r="AN663">
        <v>0</v>
      </c>
      <c r="AO663">
        <v>10.48</v>
      </c>
      <c r="AP663">
        <v>20.9</v>
      </c>
      <c r="AQ663">
        <v>4</v>
      </c>
    </row>
    <row r="664" spans="1:43" x14ac:dyDescent="0.3">
      <c r="A664">
        <v>663</v>
      </c>
      <c r="B664" t="s">
        <v>1744</v>
      </c>
      <c r="C664">
        <v>2024</v>
      </c>
      <c r="D664" t="s">
        <v>1715</v>
      </c>
      <c r="E664">
        <v>1</v>
      </c>
      <c r="F664" t="s">
        <v>1139</v>
      </c>
      <c r="G664" t="s">
        <v>1745</v>
      </c>
      <c r="H664" t="s">
        <v>493</v>
      </c>
      <c r="I664" t="s">
        <v>1746</v>
      </c>
      <c r="J664" t="s">
        <v>50</v>
      </c>
      <c r="K664">
        <v>9</v>
      </c>
      <c r="L664">
        <v>6.6</v>
      </c>
      <c r="M664">
        <v>7.3</v>
      </c>
      <c r="N664">
        <v>10214</v>
      </c>
      <c r="O664">
        <v>898</v>
      </c>
      <c r="P664">
        <v>5.6141433220000003</v>
      </c>
      <c r="Q664">
        <v>106</v>
      </c>
      <c r="R664">
        <v>1001</v>
      </c>
      <c r="S664">
        <v>4.76</v>
      </c>
      <c r="T664" t="s">
        <v>77</v>
      </c>
      <c r="U664">
        <v>41269</v>
      </c>
      <c r="V664">
        <v>0</v>
      </c>
      <c r="W664">
        <v>0</v>
      </c>
      <c r="X664">
        <v>2145</v>
      </c>
      <c r="Y664">
        <v>19.7</v>
      </c>
      <c r="Z664" t="s">
        <v>133</v>
      </c>
      <c r="AA664">
        <v>50</v>
      </c>
      <c r="AB664">
        <v>50</v>
      </c>
      <c r="AC664" t="s">
        <v>53</v>
      </c>
      <c r="AD664">
        <v>26793</v>
      </c>
      <c r="AE664">
        <v>10058</v>
      </c>
      <c r="AF664">
        <v>1551.42</v>
      </c>
      <c r="AG664">
        <v>2</v>
      </c>
      <c r="AH664">
        <v>935</v>
      </c>
      <c r="AI664">
        <v>33.120249999999999</v>
      </c>
      <c r="AJ664">
        <v>23.48</v>
      </c>
      <c r="AK664">
        <v>23.67</v>
      </c>
      <c r="AL664">
        <v>1.69</v>
      </c>
      <c r="AM664">
        <v>1401</v>
      </c>
      <c r="AN664">
        <v>0</v>
      </c>
      <c r="AO664">
        <v>404.78</v>
      </c>
      <c r="AP664">
        <v>19.7</v>
      </c>
      <c r="AQ664">
        <v>0</v>
      </c>
    </row>
    <row r="665" spans="1:43" x14ac:dyDescent="0.3">
      <c r="A665">
        <v>664</v>
      </c>
      <c r="B665" t="s">
        <v>1747</v>
      </c>
      <c r="C665">
        <v>2024</v>
      </c>
      <c r="D665" t="s">
        <v>1715</v>
      </c>
      <c r="E665">
        <v>3</v>
      </c>
      <c r="F665" t="s">
        <v>1139</v>
      </c>
      <c r="G665" t="s">
        <v>1264</v>
      </c>
      <c r="H665" t="s">
        <v>48</v>
      </c>
      <c r="I665" t="s">
        <v>1748</v>
      </c>
      <c r="J665" t="s">
        <v>50</v>
      </c>
      <c r="K665">
        <v>4</v>
      </c>
      <c r="L665">
        <v>2.4</v>
      </c>
      <c r="M665">
        <v>3.6</v>
      </c>
      <c r="N665">
        <v>1590</v>
      </c>
      <c r="O665">
        <v>3590</v>
      </c>
      <c r="P665">
        <v>3.6</v>
      </c>
      <c r="Q665">
        <v>54</v>
      </c>
      <c r="R665">
        <v>3.8</v>
      </c>
      <c r="S665">
        <v>1.66</v>
      </c>
      <c r="T665" t="s">
        <v>71</v>
      </c>
      <c r="U665">
        <v>16543</v>
      </c>
      <c r="V665">
        <v>1</v>
      </c>
      <c r="W665">
        <v>1</v>
      </c>
      <c r="X665">
        <v>908</v>
      </c>
      <c r="Y665">
        <v>13.7</v>
      </c>
      <c r="Z665" t="s">
        <v>521</v>
      </c>
      <c r="AA665">
        <v>61</v>
      </c>
      <c r="AB665">
        <v>39</v>
      </c>
      <c r="AC665" t="s">
        <v>53</v>
      </c>
      <c r="AD665">
        <v>11255</v>
      </c>
      <c r="AE665">
        <v>5957</v>
      </c>
      <c r="AF665">
        <v>1109.25</v>
      </c>
      <c r="AG665">
        <v>3</v>
      </c>
      <c r="AH665">
        <v>964</v>
      </c>
      <c r="AI665">
        <v>28.842333333333329</v>
      </c>
      <c r="AJ665">
        <v>8.73</v>
      </c>
      <c r="AK665">
        <v>3.75</v>
      </c>
      <c r="AL665">
        <v>8.98</v>
      </c>
      <c r="AM665">
        <v>1401</v>
      </c>
      <c r="AN665">
        <v>0</v>
      </c>
      <c r="AO665">
        <v>3.68</v>
      </c>
      <c r="AP665">
        <v>13.7</v>
      </c>
      <c r="AQ665">
        <v>1</v>
      </c>
    </row>
    <row r="666" spans="1:43" x14ac:dyDescent="0.3">
      <c r="A666">
        <v>665</v>
      </c>
      <c r="B666" t="s">
        <v>1749</v>
      </c>
      <c r="C666">
        <v>2024</v>
      </c>
      <c r="D666" t="s">
        <v>1715</v>
      </c>
      <c r="E666">
        <v>2</v>
      </c>
      <c r="F666" t="s">
        <v>1139</v>
      </c>
      <c r="G666" t="s">
        <v>1745</v>
      </c>
      <c r="H666" t="s">
        <v>493</v>
      </c>
      <c r="I666" t="s">
        <v>1750</v>
      </c>
      <c r="J666" t="s">
        <v>65</v>
      </c>
      <c r="K666">
        <v>7.4</v>
      </c>
      <c r="L666">
        <v>5.6</v>
      </c>
      <c r="M666">
        <v>5.2</v>
      </c>
      <c r="N666">
        <v>11970</v>
      </c>
      <c r="O666">
        <v>15156</v>
      </c>
      <c r="P666">
        <v>4.1995372360000003</v>
      </c>
      <c r="Q666">
        <v>129</v>
      </c>
      <c r="R666">
        <v>7.3</v>
      </c>
      <c r="S666">
        <v>3.32</v>
      </c>
      <c r="T666" t="s">
        <v>58</v>
      </c>
      <c r="U666">
        <v>41048</v>
      </c>
      <c r="V666">
        <v>0</v>
      </c>
      <c r="W666">
        <v>0</v>
      </c>
      <c r="X666">
        <v>3609</v>
      </c>
      <c r="Y666">
        <v>27.5</v>
      </c>
      <c r="Z666" t="s">
        <v>66</v>
      </c>
      <c r="AA666">
        <v>51</v>
      </c>
      <c r="AB666">
        <v>49</v>
      </c>
      <c r="AC666" t="s">
        <v>53</v>
      </c>
      <c r="AD666">
        <v>24983</v>
      </c>
      <c r="AE666">
        <v>11501</v>
      </c>
      <c r="AF666">
        <v>1551.42</v>
      </c>
      <c r="AG666">
        <v>2</v>
      </c>
      <c r="AH666">
        <v>935</v>
      </c>
      <c r="AI666">
        <v>33.120249999999999</v>
      </c>
      <c r="AJ666">
        <v>23.48</v>
      </c>
      <c r="AK666">
        <v>23.67</v>
      </c>
      <c r="AL666">
        <v>1.69</v>
      </c>
      <c r="AM666">
        <v>1401</v>
      </c>
      <c r="AN666">
        <v>0</v>
      </c>
      <c r="AO666">
        <v>6.04</v>
      </c>
      <c r="AP666">
        <v>27.5</v>
      </c>
      <c r="AQ666">
        <v>0</v>
      </c>
    </row>
    <row r="667" spans="1:43" x14ac:dyDescent="0.3">
      <c r="A667">
        <v>666</v>
      </c>
      <c r="B667" t="s">
        <v>1751</v>
      </c>
      <c r="C667">
        <v>2024</v>
      </c>
      <c r="D667" t="s">
        <v>1715</v>
      </c>
      <c r="E667">
        <v>38</v>
      </c>
      <c r="F667" t="s">
        <v>1139</v>
      </c>
      <c r="G667" t="s">
        <v>706</v>
      </c>
      <c r="H667" t="s">
        <v>100</v>
      </c>
      <c r="I667" t="s">
        <v>706</v>
      </c>
      <c r="J667" t="s">
        <v>65</v>
      </c>
      <c r="K667">
        <v>3.4</v>
      </c>
      <c r="L667">
        <v>1.8</v>
      </c>
      <c r="M667">
        <v>1.3</v>
      </c>
      <c r="N667">
        <v>8326</v>
      </c>
      <c r="O667">
        <v>41354</v>
      </c>
      <c r="P667">
        <v>1.3</v>
      </c>
      <c r="Q667">
        <v>212</v>
      </c>
      <c r="R667">
        <v>15.8</v>
      </c>
      <c r="S667">
        <v>3.1</v>
      </c>
      <c r="T667" t="s">
        <v>71</v>
      </c>
      <c r="U667">
        <v>34807</v>
      </c>
      <c r="V667">
        <v>0</v>
      </c>
      <c r="W667">
        <v>0</v>
      </c>
      <c r="X667">
        <v>2684</v>
      </c>
      <c r="Y667">
        <v>13.1</v>
      </c>
      <c r="Z667" t="s">
        <v>202</v>
      </c>
      <c r="AA667">
        <v>65</v>
      </c>
      <c r="AB667">
        <v>35</v>
      </c>
      <c r="AC667" t="s">
        <v>53</v>
      </c>
      <c r="AD667">
        <v>18270</v>
      </c>
      <c r="AE667">
        <v>9332</v>
      </c>
      <c r="AF667">
        <v>1323.15</v>
      </c>
      <c r="AG667">
        <v>11</v>
      </c>
      <c r="AH667">
        <v>1332</v>
      </c>
      <c r="AI667">
        <v>21.125681818181821</v>
      </c>
      <c r="AJ667">
        <v>23.15</v>
      </c>
      <c r="AK667">
        <v>10.65</v>
      </c>
      <c r="AL667">
        <v>6.33</v>
      </c>
      <c r="AM667">
        <v>1401</v>
      </c>
      <c r="AN667">
        <v>0</v>
      </c>
      <c r="AO667">
        <v>7.1</v>
      </c>
      <c r="AP667">
        <v>13.1</v>
      </c>
      <c r="AQ667">
        <v>0</v>
      </c>
    </row>
    <row r="668" spans="1:43" x14ac:dyDescent="0.3">
      <c r="A668">
        <v>667</v>
      </c>
      <c r="B668" t="s">
        <v>1752</v>
      </c>
      <c r="C668">
        <v>2024</v>
      </c>
      <c r="D668" t="s">
        <v>1715</v>
      </c>
      <c r="E668">
        <v>21</v>
      </c>
      <c r="F668" t="s">
        <v>1139</v>
      </c>
      <c r="G668" t="s">
        <v>1405</v>
      </c>
      <c r="H668" t="s">
        <v>48</v>
      </c>
      <c r="I668" t="s">
        <v>1405</v>
      </c>
      <c r="J668" t="s">
        <v>50</v>
      </c>
      <c r="K668">
        <v>5</v>
      </c>
      <c r="L668">
        <v>2</v>
      </c>
      <c r="M668">
        <v>1.7</v>
      </c>
      <c r="N668">
        <v>6113</v>
      </c>
      <c r="O668">
        <v>4386</v>
      </c>
      <c r="P668">
        <v>1.7</v>
      </c>
      <c r="Q668">
        <v>74</v>
      </c>
      <c r="R668">
        <v>5.8</v>
      </c>
      <c r="S668">
        <v>4.5999999999999996</v>
      </c>
      <c r="T668" t="s">
        <v>77</v>
      </c>
      <c r="U668">
        <v>15820</v>
      </c>
      <c r="V668">
        <v>6</v>
      </c>
      <c r="W668">
        <v>5</v>
      </c>
      <c r="X668">
        <v>1329</v>
      </c>
      <c r="Y668">
        <v>17.5</v>
      </c>
      <c r="Z668" t="s">
        <v>116</v>
      </c>
      <c r="AA668">
        <v>60</v>
      </c>
      <c r="AB668">
        <v>40</v>
      </c>
      <c r="AC668" t="s">
        <v>53</v>
      </c>
      <c r="AD668">
        <v>13365</v>
      </c>
      <c r="AE668">
        <v>5482</v>
      </c>
      <c r="AF668">
        <v>1450.67</v>
      </c>
      <c r="AG668">
        <v>6</v>
      </c>
      <c r="AH668">
        <v>1139</v>
      </c>
      <c r="AI668">
        <v>23.058583333333331</v>
      </c>
      <c r="AJ668">
        <v>20.260000000000002</v>
      </c>
      <c r="AK668">
        <v>20.5</v>
      </c>
      <c r="AL668">
        <v>13.13</v>
      </c>
      <c r="AM668">
        <v>1401</v>
      </c>
      <c r="AN668">
        <v>0</v>
      </c>
      <c r="AO668">
        <v>3.34</v>
      </c>
      <c r="AP668">
        <v>17.5</v>
      </c>
      <c r="AQ668">
        <v>6</v>
      </c>
    </row>
    <row r="669" spans="1:43" x14ac:dyDescent="0.3">
      <c r="A669">
        <v>668</v>
      </c>
      <c r="B669" t="s">
        <v>1753</v>
      </c>
      <c r="C669">
        <v>2024</v>
      </c>
      <c r="D669" t="s">
        <v>1715</v>
      </c>
      <c r="E669">
        <v>8</v>
      </c>
      <c r="F669" t="s">
        <v>1139</v>
      </c>
      <c r="G669" t="s">
        <v>366</v>
      </c>
      <c r="H669" t="s">
        <v>48</v>
      </c>
      <c r="I669" t="s">
        <v>366</v>
      </c>
      <c r="J669" t="s">
        <v>65</v>
      </c>
      <c r="K669">
        <v>7.2</v>
      </c>
      <c r="L669">
        <v>5.7</v>
      </c>
      <c r="M669">
        <v>10.9</v>
      </c>
      <c r="N669">
        <v>3665</v>
      </c>
      <c r="O669">
        <v>7522</v>
      </c>
      <c r="P669">
        <v>6.4235009070000002</v>
      </c>
      <c r="Q669">
        <v>88</v>
      </c>
      <c r="R669">
        <v>10.6</v>
      </c>
      <c r="S669">
        <v>3.13</v>
      </c>
      <c r="T669" t="s">
        <v>71</v>
      </c>
      <c r="U669">
        <v>11428</v>
      </c>
      <c r="V669">
        <v>13</v>
      </c>
      <c r="W669">
        <v>32.144245769999998</v>
      </c>
      <c r="X669">
        <v>1171</v>
      </c>
      <c r="Y669">
        <v>10.5</v>
      </c>
      <c r="Z669" t="s">
        <v>110</v>
      </c>
      <c r="AA669">
        <v>53.807904780000001</v>
      </c>
      <c r="AB669">
        <v>46.192095219999999</v>
      </c>
      <c r="AC669" t="s">
        <v>53</v>
      </c>
      <c r="AD669">
        <v>12608</v>
      </c>
      <c r="AE669">
        <v>5288</v>
      </c>
      <c r="AF669">
        <v>499</v>
      </c>
      <c r="AG669">
        <v>3</v>
      </c>
      <c r="AH669">
        <v>127</v>
      </c>
      <c r="AI669">
        <v>52.4375</v>
      </c>
      <c r="AJ669">
        <v>35.700000000000003</v>
      </c>
      <c r="AK669">
        <v>35.97</v>
      </c>
      <c r="AL669">
        <v>14.35</v>
      </c>
      <c r="AM669">
        <v>1401</v>
      </c>
      <c r="AN669">
        <v>0</v>
      </c>
      <c r="AO669">
        <v>10.78</v>
      </c>
      <c r="AP669">
        <v>10.5</v>
      </c>
      <c r="AQ669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surendiran</cp:lastModifiedBy>
  <dcterms:created xsi:type="dcterms:W3CDTF">2026-07-19T09:07:02Z</dcterms:created>
  <dcterms:modified xsi:type="dcterms:W3CDTF">2026-08-03T07:35:46Z</dcterms:modified>
</cp:coreProperties>
</file>